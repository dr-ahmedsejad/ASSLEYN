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ربيات" sheetId="1" r:id="rId5"/>
    <sheet state="visible" name="الحفيدات" sheetId="2" r:id="rId6"/>
    <sheet state="visible" name="الحافظات" sheetId="3" r:id="rId7"/>
    <sheet state="visible" name="المتميزات" sheetId="4" r:id="rId8"/>
    <sheet state="visible" name="عالمات المستقبل" sheetId="5" r:id="rId9"/>
  </sheets>
  <definedNames/>
  <calcPr/>
</workbook>
</file>

<file path=xl/sharedStrings.xml><?xml version="1.0" encoding="utf-8"?>
<sst xmlns="http://schemas.openxmlformats.org/spreadsheetml/2006/main" count="161" uniqueCount="131">
  <si>
    <t>قرار اللجنة</t>
  </si>
  <si>
    <t>المعدل</t>
  </si>
  <si>
    <t>قرار اللجنة
(النحو)</t>
  </si>
  <si>
    <r>
      <rPr>
        <rFont val="Arial"/>
        <b/>
        <color theme="1"/>
        <sz val="13.0"/>
      </rPr>
      <t xml:space="preserve">النحو
</t>
    </r>
    <r>
      <rPr>
        <rFont val="Arial"/>
        <b/>
        <color rgb="FFFF0000"/>
        <sz val="10.0"/>
      </rPr>
      <t>الضارب : 4</t>
    </r>
  </si>
  <si>
    <t>قرار اللجنة
(اللغة)</t>
  </si>
  <si>
    <r>
      <rPr>
        <rFont val="Arial"/>
        <b/>
        <color theme="1"/>
        <sz val="13.0"/>
      </rPr>
      <t xml:space="preserve">اللغة
</t>
    </r>
    <r>
      <rPr>
        <rFont val="Arial"/>
        <b/>
        <color rgb="FFFF0000"/>
        <sz val="10.0"/>
      </rPr>
      <t>الضارب : 2</t>
    </r>
  </si>
  <si>
    <t>قرار اللجنة
(الفقه)</t>
  </si>
  <si>
    <r>
      <rPr>
        <rFont val="Arial"/>
        <b/>
        <color theme="1"/>
        <sz val="13.0"/>
      </rPr>
      <t xml:space="preserve">الفقه
</t>
    </r>
    <r>
      <rPr>
        <rFont val="Arial"/>
        <b/>
        <color rgb="FFFF0000"/>
        <sz val="10.0"/>
      </rPr>
      <t>الضارب : 3</t>
    </r>
  </si>
  <si>
    <t>قرار اللجنة
(القرآن الكريم)</t>
  </si>
  <si>
    <r>
      <rPr>
        <rFont val="Arial"/>
        <b/>
        <color theme="1"/>
        <sz val="13.0"/>
      </rPr>
      <t xml:space="preserve">القرآن 
</t>
    </r>
    <r>
      <rPr>
        <rFont val="Arial"/>
        <b/>
        <color rgb="FFFF0000"/>
        <sz val="10.0"/>
      </rPr>
      <t>الضارب : 5</t>
    </r>
  </si>
  <si>
    <t>الإسم الكامل</t>
  </si>
  <si>
    <t>رقم الطالبة</t>
  </si>
  <si>
    <t>الرتبة</t>
  </si>
  <si>
    <r>
      <rPr>
        <rFont val="Arial"/>
        <b/>
        <color theme="1"/>
        <sz val="13.0"/>
      </rPr>
      <t xml:space="preserve">النحو
</t>
    </r>
    <r>
      <rPr>
        <rFont val="Arial"/>
        <b/>
        <color rgb="FFFF0000"/>
        <sz val="10.0"/>
      </rPr>
      <t>الضارب : 4</t>
    </r>
  </si>
  <si>
    <r>
      <rPr>
        <rFont val="Arial"/>
        <b/>
        <color theme="1"/>
        <sz val="13.0"/>
      </rPr>
      <t xml:space="preserve">النحو
</t>
    </r>
    <r>
      <rPr>
        <rFont val="Arial"/>
        <b/>
        <color rgb="FFFF0000"/>
        <sz val="10.0"/>
      </rPr>
      <t>الضارب : 4</t>
    </r>
  </si>
  <si>
    <r>
      <rPr>
        <rFont val="Arial"/>
        <b/>
        <color theme="1"/>
        <sz val="13.0"/>
      </rPr>
      <t xml:space="preserve">اللغة
</t>
    </r>
    <r>
      <rPr>
        <rFont val="Arial"/>
        <b/>
        <color rgb="FFFF0000"/>
        <sz val="10.0"/>
      </rPr>
      <t>الضارب : 2</t>
    </r>
  </si>
  <si>
    <r>
      <rPr>
        <rFont val="Arial"/>
        <b/>
        <color theme="1"/>
        <sz val="13.0"/>
      </rPr>
      <t xml:space="preserve">اللغة
</t>
    </r>
    <r>
      <rPr>
        <rFont val="Arial"/>
        <b/>
        <color rgb="FFFF0000"/>
        <sz val="10.0"/>
      </rPr>
      <t>الضارب : 2</t>
    </r>
  </si>
  <si>
    <r>
      <rPr>
        <rFont val="Arial"/>
        <b/>
        <color theme="1"/>
        <sz val="13.0"/>
      </rPr>
      <t xml:space="preserve">الفقه
</t>
    </r>
    <r>
      <rPr>
        <rFont val="Arial"/>
        <b/>
        <color rgb="FFFF0000"/>
        <sz val="10.0"/>
      </rPr>
      <t>الضارب : 3</t>
    </r>
  </si>
  <si>
    <r>
      <rPr>
        <rFont val="Arial"/>
        <b/>
        <color theme="1"/>
        <sz val="13.0"/>
      </rPr>
      <t xml:space="preserve">الفقه
</t>
    </r>
    <r>
      <rPr>
        <rFont val="Arial"/>
        <b/>
        <color rgb="FFFF0000"/>
        <sz val="10.0"/>
      </rPr>
      <t>الضارب : 3</t>
    </r>
  </si>
  <si>
    <t>قرار اللجنة
(السيرة النبوية)</t>
  </si>
  <si>
    <r>
      <rPr>
        <rFont val="Arial"/>
        <b/>
        <color theme="1"/>
        <sz val="13.0"/>
      </rPr>
      <t xml:space="preserve">القرآن 
</t>
    </r>
    <r>
      <rPr>
        <rFont val="Arial"/>
        <b/>
        <color rgb="FFFF0000"/>
        <sz val="10.0"/>
      </rPr>
      <t>الضارب : 5</t>
    </r>
  </si>
  <si>
    <r>
      <rPr>
        <rFont val="Arial"/>
        <b/>
        <color theme="1"/>
        <sz val="13.0"/>
      </rPr>
      <t xml:space="preserve">السيرة النبوية
</t>
    </r>
    <r>
      <rPr>
        <rFont val="Arial"/>
        <b/>
        <color rgb="FFFF0000"/>
        <sz val="10.0"/>
      </rPr>
      <t>الضارب : 3</t>
    </r>
  </si>
  <si>
    <r>
      <rPr>
        <rFont val="Arial"/>
        <b/>
        <color theme="1"/>
        <sz val="13.0"/>
      </rPr>
      <t xml:space="preserve">القرآن 
</t>
    </r>
    <r>
      <rPr>
        <rFont val="Arial"/>
        <b/>
        <color rgb="FFFF0000"/>
        <sz val="10.0"/>
      </rPr>
      <t>الضارب : 5</t>
    </r>
  </si>
  <si>
    <r>
      <rPr>
        <rFont val="Arial"/>
        <b/>
        <color theme="1"/>
        <sz val="13.0"/>
      </rPr>
      <t xml:space="preserve">الفقه
</t>
    </r>
    <r>
      <rPr>
        <rFont val="Arial"/>
        <b/>
        <color rgb="FFFF0000"/>
        <sz val="10.0"/>
      </rPr>
      <t>الضارب : 3</t>
    </r>
  </si>
  <si>
    <t>قرار اللجنة
(القرآن)</t>
  </si>
  <si>
    <r>
      <rPr>
        <rFont val="Arial"/>
        <b/>
        <color theme="1"/>
        <sz val="13.0"/>
      </rPr>
      <t xml:space="preserve">القرآن 
</t>
    </r>
    <r>
      <rPr>
        <rFont val="Arial"/>
        <b/>
        <color rgb="FFFF0000"/>
        <sz val="10.0"/>
      </rPr>
      <t>الضارب : 5</t>
    </r>
  </si>
  <si>
    <t>النياه محمد</t>
  </si>
  <si>
    <t>امامه الخليفة النيه</t>
  </si>
  <si>
    <t>الدودو  حسن</t>
  </si>
  <si>
    <t>منت بدي لمرابط</t>
  </si>
  <si>
    <t>اماه اموه بديه</t>
  </si>
  <si>
    <t>فاطمة أحمدو باب</t>
  </si>
  <si>
    <t>صفية الحسين</t>
  </si>
  <si>
    <t>غنيمة حمود</t>
  </si>
  <si>
    <t>أمينة محمدن ولد النيه</t>
  </si>
  <si>
    <t>سعاد الحسين</t>
  </si>
  <si>
    <t>اماه الحسين</t>
  </si>
  <si>
    <t>زينب محمدن النيه</t>
  </si>
  <si>
    <t>غنيمة  تاتيه</t>
  </si>
  <si>
    <t>اماه عبدالرحمن أحمدو</t>
  </si>
  <si>
    <t>صباح حمود</t>
  </si>
  <si>
    <t>دعيه محمد</t>
  </si>
  <si>
    <t>النياه  أدو</t>
  </si>
  <si>
    <t>تنجح حمود</t>
  </si>
  <si>
    <t>نعيمة  محمد</t>
  </si>
  <si>
    <t>دعيه مناه</t>
  </si>
  <si>
    <t>فضيلة يوسف</t>
  </si>
  <si>
    <t>فاطمة السالك</t>
  </si>
  <si>
    <t>فاطمة الزهراء أمينو</t>
  </si>
  <si>
    <t>الشفاء المولود</t>
  </si>
  <si>
    <t>امام الداه سيدأحمد</t>
  </si>
  <si>
    <t>آمنة تاتيه</t>
  </si>
  <si>
    <t>حاجة سعيد</t>
  </si>
  <si>
    <t>صفية أدو</t>
  </si>
  <si>
    <t>أميرة محمدفال</t>
  </si>
  <si>
    <t>محجوبة بكيا</t>
  </si>
  <si>
    <t>خديجة أحبلالة</t>
  </si>
  <si>
    <t>عيشة حمدي</t>
  </si>
  <si>
    <t>فاطمة أوبك</t>
  </si>
  <si>
    <t>تانة اموه بديه</t>
  </si>
  <si>
    <t>فاطمة محمدن الشيخ</t>
  </si>
  <si>
    <t>صفية الخليفة النيه</t>
  </si>
  <si>
    <t>عيشة زيدان</t>
  </si>
  <si>
    <t>عيشة محمدن الشيخ</t>
  </si>
  <si>
    <t>محجوبة سيدالفالي</t>
  </si>
  <si>
    <t>بشرى محمد</t>
  </si>
  <si>
    <t>ليلى سعيد</t>
  </si>
  <si>
    <t>فضيلة أحمدو أحمد</t>
  </si>
  <si>
    <t>عيشة ماءالعينين أدو</t>
  </si>
  <si>
    <t>ابتسام الذاكر</t>
  </si>
  <si>
    <t xml:space="preserve">تبراك اسليمان </t>
  </si>
  <si>
    <t>امامه محفوظ ولد النيه</t>
  </si>
  <si>
    <t>فريدة مجاد</t>
  </si>
  <si>
    <t>تانة أمين بديه</t>
  </si>
  <si>
    <t>سناء محمد أدو</t>
  </si>
  <si>
    <t>آمي انتغري</t>
  </si>
  <si>
    <t>فرحة يهديه</t>
  </si>
  <si>
    <t>أماه السالك</t>
  </si>
  <si>
    <t xml:space="preserve">فاطمة طهمان </t>
  </si>
  <si>
    <t>أمامه محمدن النيه</t>
  </si>
  <si>
    <t>فاطمة منت أدو</t>
  </si>
  <si>
    <t>فاطمة الذاكر</t>
  </si>
  <si>
    <t>عيشة  أمينو</t>
  </si>
  <si>
    <t>مليكة المامي</t>
  </si>
  <si>
    <t>امامه أحمدو ولد التاه</t>
  </si>
  <si>
    <t>حاجة منت بلال</t>
  </si>
  <si>
    <t>مريم المامي</t>
  </si>
  <si>
    <t>أمبيغية أمينو</t>
  </si>
  <si>
    <t>امامه محمدن ولد حمود</t>
  </si>
  <si>
    <t>الوالدة محمد عمر</t>
  </si>
  <si>
    <t>عيشة السالك امبارك</t>
  </si>
  <si>
    <t>مريم الشيخ اموه</t>
  </si>
  <si>
    <t>احبيبة منت الذاكر</t>
  </si>
  <si>
    <t>الهلالية منت الشيخ</t>
  </si>
  <si>
    <t>الرئيسة أحمدو أحمد</t>
  </si>
  <si>
    <t>حميدة الشيخ</t>
  </si>
  <si>
    <t>عيشة عالي</t>
  </si>
  <si>
    <t>النياه الحسين</t>
  </si>
  <si>
    <t>زينب أحبلالة</t>
  </si>
  <si>
    <t>تانة الشيخ ولد بكيا</t>
  </si>
  <si>
    <t>اماه محمدالأمين أحمدو</t>
  </si>
  <si>
    <t>النياه محمدفال</t>
  </si>
  <si>
    <t>قرار اللجنة
(محارم اللسان)</t>
  </si>
  <si>
    <r>
      <rPr>
        <rFont val="Arial"/>
        <b/>
        <color theme="1"/>
        <sz val="13.0"/>
      </rPr>
      <t xml:space="preserve">محارم اللسان
</t>
    </r>
    <r>
      <rPr>
        <rFont val="Arial"/>
        <b/>
        <color rgb="FFFF0000"/>
        <sz val="10.0"/>
      </rPr>
      <t>الضارب : 3</t>
    </r>
  </si>
  <si>
    <t>قرار اللجنة
(الأخضري)</t>
  </si>
  <si>
    <r>
      <rPr>
        <rFont val="Arial"/>
        <b/>
        <color theme="1"/>
        <sz val="13.0"/>
      </rPr>
      <t xml:space="preserve">الأخضري
</t>
    </r>
    <r>
      <rPr>
        <rFont val="Arial"/>
        <b/>
        <color rgb="FFFF0000"/>
        <sz val="10.0"/>
      </rPr>
      <t>الضارب : 3</t>
    </r>
  </si>
  <si>
    <t>قرار اللجنة
(العبقري)</t>
  </si>
  <si>
    <r>
      <rPr>
        <rFont val="Arial"/>
        <b/>
        <color theme="1"/>
        <sz val="13.0"/>
      </rPr>
      <t xml:space="preserve">العبقري
</t>
    </r>
    <r>
      <rPr>
        <rFont val="Arial"/>
        <b/>
        <color rgb="FFFF0000"/>
        <sz val="10.0"/>
      </rPr>
      <t>الضارب : 3</t>
    </r>
  </si>
  <si>
    <r>
      <rPr>
        <rFont val="Arial"/>
        <b/>
        <color theme="1"/>
        <sz val="13.0"/>
      </rPr>
      <t xml:space="preserve">القرآن 
</t>
    </r>
    <r>
      <rPr>
        <rFont val="Arial"/>
        <b/>
        <color rgb="FFFF0000"/>
        <sz val="10.0"/>
      </rPr>
      <t>الضارب : 5</t>
    </r>
  </si>
  <si>
    <t>دعيه  أدو</t>
  </si>
  <si>
    <t>أميمة الذاكر</t>
  </si>
  <si>
    <t>آمال الحسين</t>
  </si>
  <si>
    <t>عيشة منت حنبل</t>
  </si>
  <si>
    <t>ماماه دداه مناه</t>
  </si>
  <si>
    <t>ميمونة السجاد</t>
  </si>
  <si>
    <t>منت اباه تاتيه</t>
  </si>
  <si>
    <t>سلكه منت عبدي</t>
  </si>
  <si>
    <t>سناء حمود</t>
  </si>
  <si>
    <t>عيشة منت باباه</t>
  </si>
  <si>
    <t>تانة الخليل</t>
  </si>
  <si>
    <t>أميرة المختار السجاد</t>
  </si>
  <si>
    <t>عيشة الخليفة الذاكر</t>
  </si>
  <si>
    <t>حميدة الخليل</t>
  </si>
  <si>
    <t>سناء الشيخ اموه</t>
  </si>
  <si>
    <t>عيشة منت أدو</t>
  </si>
  <si>
    <t>دعيه مجاد</t>
  </si>
  <si>
    <t>إيمان السجاد</t>
  </si>
  <si>
    <t>هندو النيه</t>
  </si>
  <si>
    <t>امام أيداه</t>
  </si>
  <si>
    <t>مريم اموه بديه</t>
  </si>
  <si>
    <t>رشاد أحمد حسن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</si>
</sst>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1" fillId="0" fontId="3" numFmtId="0" xfId="0" applyBorder="1" applyFont="1"/>
    <xf borderId="1" fillId="0" fontId="8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5"/>
    <col customWidth="1" min="12" max="13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tr">
        <f t="shared" ref="A2:A16" si="1">IF(and(B2&gt;=10,D2&gt;=7,F2&gt;=7,H2&gt;=7,J2&gt;=7),"ناجحة","استدراك")</f>
        <v>ناجحة</v>
      </c>
      <c r="B2" s="3">
        <f t="shared" ref="B2:B16" si="2">(J2*5+H2*3+F2*2+D2*4)/14</f>
        <v>17.94642857</v>
      </c>
      <c r="C2" s="2" t="str">
        <f t="shared" ref="C2:C16" si="3">IF(D2&gt;=10,"مستوفي",IF(and(B2&gt;=10,D2&gt;=7),"مستوفي","غير مستوفي"))</f>
        <v>مستوفي</v>
      </c>
      <c r="D2" s="2">
        <v>17.5</v>
      </c>
      <c r="E2" s="2" t="str">
        <f t="shared" ref="E2:E16" si="4">IF(F2&gt;=10,"مستوفي",IF(and(B2&gt;=10,F2&gt;=7),"مستوفي","غير مستوفي"))</f>
        <v>مستوفي</v>
      </c>
      <c r="F2" s="2">
        <v>16.0</v>
      </c>
      <c r="G2" s="2" t="str">
        <f t="shared" ref="G2:G16" si="5">IF(H2&gt;=10,"مستوفي",IF(and(B2&gt;=10,H2&gt;=7),"مستوفي","غير مستوفي"))</f>
        <v>مستوفي</v>
      </c>
      <c r="H2" s="2">
        <v>18.5</v>
      </c>
      <c r="I2" s="2" t="str">
        <f t="shared" ref="I2:I16" si="6">IF(J2&gt;=10,"مستوفي",IF(and(B2&gt;=10,J2&gt;=7),"مستوفي","غير مستوفي"))</f>
        <v>مستوفي</v>
      </c>
      <c r="J2" s="2">
        <v>18.75</v>
      </c>
      <c r="K2" s="6" t="s">
        <v>26</v>
      </c>
      <c r="L2" s="7">
        <v>24040.0</v>
      </c>
      <c r="M2" s="2">
        <v>1.0</v>
      </c>
    </row>
    <row r="3">
      <c r="A3" s="2" t="str">
        <f t="shared" si="1"/>
        <v>ناجحة</v>
      </c>
      <c r="B3" s="3">
        <f t="shared" si="2"/>
        <v>17.875</v>
      </c>
      <c r="C3" s="2" t="str">
        <f t="shared" si="3"/>
        <v>مستوفي</v>
      </c>
      <c r="D3" s="2">
        <v>18.0</v>
      </c>
      <c r="E3" s="2" t="str">
        <f t="shared" si="4"/>
        <v>مستوفي</v>
      </c>
      <c r="F3" s="2">
        <v>18.0</v>
      </c>
      <c r="G3" s="2" t="str">
        <f t="shared" si="5"/>
        <v>مستوفي</v>
      </c>
      <c r="H3" s="2">
        <v>18.25</v>
      </c>
      <c r="I3" s="2" t="str">
        <f t="shared" si="6"/>
        <v>مستوفي</v>
      </c>
      <c r="J3" s="2">
        <v>17.5</v>
      </c>
      <c r="K3" s="6" t="s">
        <v>27</v>
      </c>
      <c r="L3" s="7">
        <v>24038.0</v>
      </c>
      <c r="M3" s="2">
        <f t="shared" ref="M3:M15" si="7">M2+1</f>
        <v>2</v>
      </c>
    </row>
    <row r="4">
      <c r="A4" s="2" t="str">
        <f t="shared" si="1"/>
        <v>ناجحة</v>
      </c>
      <c r="B4" s="3">
        <f t="shared" si="2"/>
        <v>15.01785714</v>
      </c>
      <c r="C4" s="2" t="str">
        <f t="shared" si="3"/>
        <v>مستوفي</v>
      </c>
      <c r="D4" s="2">
        <v>12.5</v>
      </c>
      <c r="E4" s="2" t="str">
        <f t="shared" si="4"/>
        <v>مستوفي</v>
      </c>
      <c r="F4" s="2">
        <v>15.0</v>
      </c>
      <c r="G4" s="2" t="str">
        <f t="shared" si="5"/>
        <v>مستوفي</v>
      </c>
      <c r="H4" s="2">
        <v>15.5</v>
      </c>
      <c r="I4" s="2" t="str">
        <f t="shared" si="6"/>
        <v>مستوفي</v>
      </c>
      <c r="J4" s="2">
        <v>16.75</v>
      </c>
      <c r="K4" s="6" t="s">
        <v>30</v>
      </c>
      <c r="L4" s="7">
        <v>24050.0</v>
      </c>
      <c r="M4" s="2">
        <f t="shared" si="7"/>
        <v>3</v>
      </c>
    </row>
    <row r="5">
      <c r="A5" s="2" t="str">
        <f t="shared" si="1"/>
        <v>ناجحة</v>
      </c>
      <c r="B5" s="3">
        <f t="shared" si="2"/>
        <v>14.64285714</v>
      </c>
      <c r="C5" s="2" t="str">
        <f t="shared" si="3"/>
        <v>مستوفي</v>
      </c>
      <c r="D5" s="2">
        <v>12.0</v>
      </c>
      <c r="E5" s="2" t="str">
        <f t="shared" si="4"/>
        <v>مستوفي</v>
      </c>
      <c r="F5" s="2">
        <v>15.0</v>
      </c>
      <c r="G5" s="2" t="str">
        <f t="shared" si="5"/>
        <v>مستوفي</v>
      </c>
      <c r="H5" s="2">
        <v>14.0</v>
      </c>
      <c r="I5" s="2" t="str">
        <f t="shared" si="6"/>
        <v>مستوفي</v>
      </c>
      <c r="J5" s="2">
        <v>17.0</v>
      </c>
      <c r="K5" s="6" t="s">
        <v>32</v>
      </c>
      <c r="L5" s="7">
        <v>24046.0</v>
      </c>
      <c r="M5" s="2">
        <f t="shared" si="7"/>
        <v>4</v>
      </c>
    </row>
    <row r="6">
      <c r="A6" s="2" t="str">
        <f t="shared" si="1"/>
        <v>ناجحة</v>
      </c>
      <c r="B6" s="3">
        <f t="shared" si="2"/>
        <v>14.5</v>
      </c>
      <c r="C6" s="2" t="str">
        <f t="shared" si="3"/>
        <v>مستوفي</v>
      </c>
      <c r="D6" s="2">
        <v>11.0</v>
      </c>
      <c r="E6" s="2" t="str">
        <f t="shared" si="4"/>
        <v>مستوفي</v>
      </c>
      <c r="F6" s="2">
        <v>15.5</v>
      </c>
      <c r="G6" s="2" t="str">
        <f t="shared" si="5"/>
        <v>مستوفي</v>
      </c>
      <c r="H6" s="2">
        <v>16.0</v>
      </c>
      <c r="I6" s="2" t="str">
        <f t="shared" si="6"/>
        <v>مستوفي</v>
      </c>
      <c r="J6" s="2">
        <v>16.0</v>
      </c>
      <c r="K6" s="6" t="s">
        <v>35</v>
      </c>
      <c r="L6" s="7">
        <v>24045.0</v>
      </c>
      <c r="M6" s="2">
        <f t="shared" si="7"/>
        <v>5</v>
      </c>
    </row>
    <row r="7">
      <c r="A7" s="2" t="str">
        <f t="shared" si="1"/>
        <v>ناجحة</v>
      </c>
      <c r="B7" s="3">
        <f t="shared" si="2"/>
        <v>14.33928571</v>
      </c>
      <c r="C7" s="2" t="str">
        <f t="shared" si="3"/>
        <v>مستوفي</v>
      </c>
      <c r="D7" s="2">
        <v>11.0</v>
      </c>
      <c r="E7" s="2" t="str">
        <f t="shared" si="4"/>
        <v>مستوفي</v>
      </c>
      <c r="F7" s="2">
        <v>15.75</v>
      </c>
      <c r="G7" s="2" t="str">
        <f t="shared" si="5"/>
        <v>مستوفي</v>
      </c>
      <c r="H7" s="2">
        <v>13.0</v>
      </c>
      <c r="I7" s="2" t="str">
        <f t="shared" si="6"/>
        <v>مستوفي</v>
      </c>
      <c r="J7" s="2">
        <v>17.25</v>
      </c>
      <c r="K7" s="6" t="s">
        <v>36</v>
      </c>
      <c r="L7" s="7">
        <v>24044.0</v>
      </c>
      <c r="M7" s="2">
        <f t="shared" si="7"/>
        <v>6</v>
      </c>
    </row>
    <row r="8">
      <c r="A8" s="2" t="str">
        <f t="shared" si="1"/>
        <v>ناجحة</v>
      </c>
      <c r="B8" s="3">
        <f t="shared" si="2"/>
        <v>14.23214286</v>
      </c>
      <c r="C8" s="2" t="str">
        <f t="shared" si="3"/>
        <v>مستوفي</v>
      </c>
      <c r="D8" s="2">
        <v>12.0</v>
      </c>
      <c r="E8" s="2" t="str">
        <f t="shared" si="4"/>
        <v>مستوفي</v>
      </c>
      <c r="F8" s="2">
        <v>18.75</v>
      </c>
      <c r="G8" s="2" t="str">
        <f t="shared" si="5"/>
        <v>مستوفي</v>
      </c>
      <c r="H8" s="2">
        <v>17.5</v>
      </c>
      <c r="I8" s="2" t="str">
        <f t="shared" si="6"/>
        <v>مستوفي</v>
      </c>
      <c r="J8" s="2">
        <v>12.25</v>
      </c>
      <c r="K8" s="6" t="s">
        <v>39</v>
      </c>
      <c r="L8" s="7">
        <v>24043.0</v>
      </c>
      <c r="M8" s="2">
        <f t="shared" si="7"/>
        <v>7</v>
      </c>
    </row>
    <row r="9">
      <c r="A9" s="2" t="str">
        <f t="shared" si="1"/>
        <v>ناجحة</v>
      </c>
      <c r="B9" s="3">
        <f t="shared" si="2"/>
        <v>13.64285714</v>
      </c>
      <c r="C9" s="2" t="str">
        <f t="shared" si="3"/>
        <v>مستوفي</v>
      </c>
      <c r="D9" s="2">
        <v>11.5</v>
      </c>
      <c r="E9" s="2" t="str">
        <f t="shared" si="4"/>
        <v>مستوفي</v>
      </c>
      <c r="F9" s="2">
        <v>14.5</v>
      </c>
      <c r="G9" s="2" t="str">
        <f t="shared" si="5"/>
        <v>مستوفي</v>
      </c>
      <c r="H9" s="2">
        <v>12.0</v>
      </c>
      <c r="I9" s="2" t="str">
        <f t="shared" si="6"/>
        <v>مستوفي</v>
      </c>
      <c r="J9" s="2">
        <v>16.0</v>
      </c>
      <c r="K9" s="6" t="s">
        <v>42</v>
      </c>
      <c r="L9" s="7">
        <v>24047.0</v>
      </c>
      <c r="M9" s="2">
        <f t="shared" si="7"/>
        <v>8</v>
      </c>
    </row>
    <row r="10">
      <c r="A10" s="2" t="str">
        <f t="shared" si="1"/>
        <v>ناجحة</v>
      </c>
      <c r="B10" s="3">
        <f t="shared" si="2"/>
        <v>11.82142857</v>
      </c>
      <c r="C10" s="2" t="str">
        <f t="shared" si="3"/>
        <v>مستوفي</v>
      </c>
      <c r="D10" s="2">
        <v>10.0</v>
      </c>
      <c r="E10" s="2" t="str">
        <f t="shared" si="4"/>
        <v>مستوفي</v>
      </c>
      <c r="F10" s="2">
        <v>11.0</v>
      </c>
      <c r="G10" s="2" t="str">
        <f t="shared" si="5"/>
        <v>مستوفي</v>
      </c>
      <c r="H10" s="2">
        <v>17.0</v>
      </c>
      <c r="I10" s="2" t="str">
        <f t="shared" si="6"/>
        <v>مستوفي</v>
      </c>
      <c r="J10" s="2">
        <v>10.5</v>
      </c>
      <c r="K10" s="6" t="s">
        <v>45</v>
      </c>
      <c r="L10" s="7">
        <v>24042.0</v>
      </c>
      <c r="M10" s="2">
        <f t="shared" si="7"/>
        <v>9</v>
      </c>
    </row>
    <row r="11">
      <c r="A11" s="2" t="str">
        <f t="shared" si="1"/>
        <v>استدراك</v>
      </c>
      <c r="B11" s="3">
        <f t="shared" si="2"/>
        <v>11.71428571</v>
      </c>
      <c r="C11" s="2" t="str">
        <f t="shared" si="3"/>
        <v>غير مستوفي</v>
      </c>
      <c r="D11" s="2">
        <v>4.0</v>
      </c>
      <c r="E11" s="2" t="str">
        <f t="shared" si="4"/>
        <v>مستوفي</v>
      </c>
      <c r="F11" s="2">
        <v>14.5</v>
      </c>
      <c r="G11" s="2" t="str">
        <f t="shared" si="5"/>
        <v>مستوفي</v>
      </c>
      <c r="H11" s="2">
        <v>15.5</v>
      </c>
      <c r="I11" s="2" t="str">
        <f t="shared" si="6"/>
        <v>مستوفي</v>
      </c>
      <c r="J11" s="2">
        <v>14.5</v>
      </c>
      <c r="K11" s="6" t="s">
        <v>48</v>
      </c>
      <c r="L11" s="7">
        <v>24049.0</v>
      </c>
      <c r="M11" s="2">
        <f t="shared" si="7"/>
        <v>10</v>
      </c>
    </row>
    <row r="12">
      <c r="A12" s="2" t="str">
        <f t="shared" si="1"/>
        <v>استدراك</v>
      </c>
      <c r="B12" s="3">
        <f t="shared" si="2"/>
        <v>9.714285714</v>
      </c>
      <c r="C12" s="2" t="str">
        <f t="shared" si="3"/>
        <v>غير مستوفي</v>
      </c>
      <c r="D12" s="2"/>
      <c r="E12" s="2" t="str">
        <f t="shared" si="4"/>
        <v>غير مستوفي</v>
      </c>
      <c r="F12" s="2">
        <v>7.75</v>
      </c>
      <c r="G12" s="2" t="str">
        <f t="shared" si="5"/>
        <v>مستوفي</v>
      </c>
      <c r="H12" s="2">
        <v>13.5</v>
      </c>
      <c r="I12" s="2" t="str">
        <f t="shared" si="6"/>
        <v>مستوفي</v>
      </c>
      <c r="J12" s="2">
        <v>16.0</v>
      </c>
      <c r="K12" s="6" t="s">
        <v>51</v>
      </c>
      <c r="L12" s="7">
        <v>24052.0</v>
      </c>
      <c r="M12" s="2">
        <f t="shared" si="7"/>
        <v>11</v>
      </c>
    </row>
    <row r="13">
      <c r="A13" s="2" t="str">
        <f t="shared" si="1"/>
        <v>استدراك</v>
      </c>
      <c r="B13" s="3">
        <f t="shared" si="2"/>
        <v>6.589285714</v>
      </c>
      <c r="C13" s="2" t="str">
        <f t="shared" si="3"/>
        <v>غير مستوفي</v>
      </c>
      <c r="D13" s="2"/>
      <c r="E13" s="2" t="str">
        <f t="shared" si="4"/>
        <v>غير مستوفي</v>
      </c>
      <c r="F13" s="2">
        <v>4.75</v>
      </c>
      <c r="G13" s="2" t="str">
        <f t="shared" si="5"/>
        <v>غير مستوفي</v>
      </c>
      <c r="H13" s="2">
        <v>8.0</v>
      </c>
      <c r="I13" s="2" t="str">
        <f t="shared" si="6"/>
        <v>مستوفي</v>
      </c>
      <c r="J13" s="2">
        <v>11.75</v>
      </c>
      <c r="K13" s="6" t="s">
        <v>55</v>
      </c>
      <c r="L13" s="7">
        <v>24048.0</v>
      </c>
      <c r="M13" s="2">
        <f t="shared" si="7"/>
        <v>12</v>
      </c>
    </row>
    <row r="14">
      <c r="A14" s="2" t="str">
        <f t="shared" si="1"/>
        <v>استدراك</v>
      </c>
      <c r="B14" s="3">
        <f t="shared" si="2"/>
        <v>4.178571429</v>
      </c>
      <c r="C14" s="2" t="str">
        <f t="shared" si="3"/>
        <v>غير مستوفي</v>
      </c>
      <c r="D14" s="2">
        <v>4.0</v>
      </c>
      <c r="E14" s="2" t="str">
        <f t="shared" si="4"/>
        <v>غير مستوفي</v>
      </c>
      <c r="F14" s="2">
        <v>3.25</v>
      </c>
      <c r="G14" s="2" t="str">
        <f t="shared" si="5"/>
        <v>مستوفي</v>
      </c>
      <c r="H14" s="2">
        <v>12.0</v>
      </c>
      <c r="I14" s="2" t="str">
        <f t="shared" si="6"/>
        <v>غير مستوفي</v>
      </c>
      <c r="J14" s="2"/>
      <c r="K14" s="6" t="s">
        <v>57</v>
      </c>
      <c r="L14" s="7">
        <v>24051.0</v>
      </c>
      <c r="M14" s="2">
        <f t="shared" si="7"/>
        <v>13</v>
      </c>
    </row>
    <row r="15">
      <c r="A15" s="2" t="str">
        <f t="shared" si="1"/>
        <v>استدراك</v>
      </c>
      <c r="B15" s="3">
        <f t="shared" si="2"/>
        <v>0</v>
      </c>
      <c r="C15" s="2" t="str">
        <f t="shared" si="3"/>
        <v>غير مستوفي</v>
      </c>
      <c r="D15" s="2"/>
      <c r="E15" s="2" t="str">
        <f t="shared" si="4"/>
        <v>غير مستوفي</v>
      </c>
      <c r="F15" s="2"/>
      <c r="G15" s="2" t="str">
        <f t="shared" si="5"/>
        <v>غير مستوفي</v>
      </c>
      <c r="H15" s="2"/>
      <c r="I15" s="2" t="str">
        <f t="shared" si="6"/>
        <v>غير مستوفي</v>
      </c>
      <c r="J15" s="2"/>
      <c r="K15" s="6" t="s">
        <v>61</v>
      </c>
      <c r="L15" s="7">
        <v>24039.0</v>
      </c>
      <c r="M15" s="2">
        <f t="shared" si="7"/>
        <v>14</v>
      </c>
    </row>
    <row r="16">
      <c r="A16" s="2" t="str">
        <f t="shared" si="1"/>
        <v>استدراك</v>
      </c>
      <c r="B16" s="3">
        <f t="shared" si="2"/>
        <v>0</v>
      </c>
      <c r="C16" s="2" t="str">
        <f t="shared" si="3"/>
        <v>غير مستوفي</v>
      </c>
      <c r="D16" s="2"/>
      <c r="E16" s="2" t="str">
        <f t="shared" si="4"/>
        <v>غير مستوفي</v>
      </c>
      <c r="F16" s="2"/>
      <c r="G16" s="2" t="str">
        <f t="shared" si="5"/>
        <v>غير مستوفي</v>
      </c>
      <c r="H16" s="2"/>
      <c r="I16" s="2" t="str">
        <f t="shared" si="6"/>
        <v>غير مستوفي</v>
      </c>
      <c r="J16" s="2"/>
      <c r="K16" s="6" t="s">
        <v>64</v>
      </c>
      <c r="L16" s="7">
        <v>24041.0</v>
      </c>
      <c r="M16" s="2">
        <v>14.0</v>
      </c>
    </row>
  </sheetData>
  <conditionalFormatting sqref="G2:G16 I2:I16">
    <cfRule type="cellIs" dxfId="0" priority="1" operator="equal">
      <formula>"مستوفي"</formula>
    </cfRule>
  </conditionalFormatting>
  <conditionalFormatting sqref="G2:G16 I2:I16">
    <cfRule type="cellIs" dxfId="1" priority="2" operator="equal">
      <formula>"غير مستوفي"</formula>
    </cfRule>
  </conditionalFormatting>
  <conditionalFormatting sqref="C1:C941 E1:E941 G1:G941">
    <cfRule type="cellIs" dxfId="0" priority="3" operator="equal">
      <formula>"مستوفي"</formula>
    </cfRule>
  </conditionalFormatting>
  <conditionalFormatting sqref="C1:C941 E1:E941 G1:G941">
    <cfRule type="cellIs" dxfId="1" priority="4" operator="equal">
      <formula>"غير مستوفي"</formula>
    </cfRule>
  </conditionalFormatting>
  <conditionalFormatting sqref="A2:A16">
    <cfRule type="cellIs" dxfId="0" priority="5" operator="equal">
      <formula>"ناجحة"</formula>
    </cfRule>
  </conditionalFormatting>
  <conditionalFormatting sqref="A2:A16">
    <cfRule type="cellIs" dxfId="1" priority="6" operator="equal">
      <formula>"استدراك"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5"/>
    <col customWidth="1" min="12" max="13" width="11.63"/>
  </cols>
  <sheetData>
    <row r="1">
      <c r="A1" s="1" t="s">
        <v>0</v>
      </c>
      <c r="B1" s="1" t="s">
        <v>1</v>
      </c>
      <c r="C1" s="1" t="s">
        <v>2</v>
      </c>
      <c r="D1" s="1" t="s">
        <v>14</v>
      </c>
      <c r="E1" s="1" t="s">
        <v>4</v>
      </c>
      <c r="F1" s="1" t="s">
        <v>16</v>
      </c>
      <c r="G1" s="1" t="s">
        <v>6</v>
      </c>
      <c r="H1" s="1" t="s">
        <v>18</v>
      </c>
      <c r="I1" s="1" t="s">
        <v>8</v>
      </c>
      <c r="J1" s="1" t="s">
        <v>20</v>
      </c>
      <c r="K1" s="1" t="s">
        <v>10</v>
      </c>
      <c r="L1" s="1" t="s">
        <v>11</v>
      </c>
      <c r="M1" s="1" t="s">
        <v>12</v>
      </c>
    </row>
    <row r="2">
      <c r="A2" s="2" t="str">
        <f t="shared" ref="A2:A25" si="1">IF(and(B2&gt;=10,D2&gt;=7,F2&gt;=7,H2&gt;=7,J2&gt;=7),"ناجحة","استدراك")</f>
        <v>ناجحة</v>
      </c>
      <c r="B2" s="3">
        <f t="shared" ref="B2:B25" si="2">(J2*5+H2*3+F2*2+D2*4)/14</f>
        <v>17.39285714</v>
      </c>
      <c r="C2" s="2" t="str">
        <f t="shared" ref="C2:C25" si="3">IF(D2&gt;=10,"مستوفي",IF(and(B2&gt;=10,D2&gt;=7),"مستوفي","غير مستوفي"))</f>
        <v>مستوفي</v>
      </c>
      <c r="D2" s="2">
        <v>17.0</v>
      </c>
      <c r="E2" s="2" t="str">
        <f t="shared" ref="E2:E25" si="4">IF(F2&gt;=10,"مستوفي",IF(and(B2&gt;=10,F2&gt;=7),"مستوفي","غير مستوفي"))</f>
        <v>مستوفي</v>
      </c>
      <c r="F2" s="2">
        <v>17.0</v>
      </c>
      <c r="G2" s="5" t="str">
        <f t="shared" ref="G2:G15" si="5">IF(H2&gt;=10,"مستوفي",IF(and(B2&gt;=10,H2&gt;=7),"مستوفي","غير مستوفي"))</f>
        <v>مستوفي</v>
      </c>
      <c r="H2" s="2">
        <v>15.5</v>
      </c>
      <c r="I2" s="2" t="str">
        <f t="shared" ref="I2:I25" si="6">IF(J2&gt;=10,"مستوفي",IF(and(B2&gt;=10,J2&gt;=7),"مستوفي","غير مستوفي"))</f>
        <v>مستوفي</v>
      </c>
      <c r="J2" s="2">
        <v>19.0</v>
      </c>
      <c r="K2" s="8" t="s">
        <v>28</v>
      </c>
      <c r="L2" s="7">
        <v>24060.0</v>
      </c>
      <c r="M2" s="2">
        <v>1.0</v>
      </c>
    </row>
    <row r="3">
      <c r="A3" s="2" t="str">
        <f t="shared" si="1"/>
        <v>ناجحة</v>
      </c>
      <c r="B3" s="3">
        <f t="shared" si="2"/>
        <v>16.96428571</v>
      </c>
      <c r="C3" s="2" t="str">
        <f t="shared" si="3"/>
        <v>مستوفي</v>
      </c>
      <c r="D3" s="2">
        <v>17.0</v>
      </c>
      <c r="E3" s="2" t="str">
        <f t="shared" si="4"/>
        <v>مستوفي</v>
      </c>
      <c r="F3" s="2">
        <v>18.0</v>
      </c>
      <c r="G3" s="5" t="str">
        <f t="shared" si="5"/>
        <v>مستوفي</v>
      </c>
      <c r="H3" s="2">
        <v>17.0</v>
      </c>
      <c r="I3" s="2" t="str">
        <f t="shared" si="6"/>
        <v>مستوفي</v>
      </c>
      <c r="J3" s="2">
        <v>16.5</v>
      </c>
      <c r="K3" s="8" t="s">
        <v>31</v>
      </c>
      <c r="L3" s="7">
        <v>24054.0</v>
      </c>
      <c r="M3" s="9">
        <f t="shared" ref="M3:M4" si="7">M2+1</f>
        <v>2</v>
      </c>
    </row>
    <row r="4">
      <c r="A4" s="2" t="str">
        <f t="shared" si="1"/>
        <v>ناجحة</v>
      </c>
      <c r="B4" s="3">
        <f t="shared" si="2"/>
        <v>16.19642857</v>
      </c>
      <c r="C4" s="2" t="str">
        <f t="shared" si="3"/>
        <v>مستوفي</v>
      </c>
      <c r="D4" s="2">
        <v>18.0</v>
      </c>
      <c r="E4" s="2" t="str">
        <f t="shared" si="4"/>
        <v>مستوفي</v>
      </c>
      <c r="F4" s="2">
        <v>15.0</v>
      </c>
      <c r="G4" s="5" t="str">
        <f t="shared" si="5"/>
        <v>مستوفي</v>
      </c>
      <c r="H4" s="2">
        <v>15.75</v>
      </c>
      <c r="I4" s="2" t="str">
        <f t="shared" si="6"/>
        <v>مستوفي</v>
      </c>
      <c r="J4" s="2">
        <v>15.5</v>
      </c>
      <c r="K4" s="8" t="s">
        <v>38</v>
      </c>
      <c r="L4" s="7">
        <v>24056.0</v>
      </c>
      <c r="M4" s="9">
        <f t="shared" si="7"/>
        <v>3</v>
      </c>
    </row>
    <row r="5">
      <c r="A5" s="2" t="str">
        <f t="shared" si="1"/>
        <v>ناجحة</v>
      </c>
      <c r="B5" s="3">
        <f t="shared" si="2"/>
        <v>16.19642857</v>
      </c>
      <c r="C5" s="2" t="str">
        <f t="shared" si="3"/>
        <v>مستوفي</v>
      </c>
      <c r="D5" s="2">
        <v>15.0</v>
      </c>
      <c r="E5" s="2" t="str">
        <f t="shared" si="4"/>
        <v>مستوفي</v>
      </c>
      <c r="F5" s="2">
        <v>16.0</v>
      </c>
      <c r="G5" s="5" t="str">
        <f t="shared" si="5"/>
        <v>مستوفي</v>
      </c>
      <c r="H5" s="2">
        <v>15.75</v>
      </c>
      <c r="I5" s="2" t="str">
        <f t="shared" si="6"/>
        <v>مستوفي</v>
      </c>
      <c r="J5" s="2">
        <v>17.5</v>
      </c>
      <c r="K5" s="8" t="s">
        <v>44</v>
      </c>
      <c r="L5" s="7">
        <v>24059.0</v>
      </c>
      <c r="M5" s="2">
        <v>3.0</v>
      </c>
    </row>
    <row r="6">
      <c r="A6" s="2" t="str">
        <f t="shared" si="1"/>
        <v>ناجحة</v>
      </c>
      <c r="B6" s="3">
        <f t="shared" si="2"/>
        <v>15.96428571</v>
      </c>
      <c r="C6" s="2" t="str">
        <f t="shared" si="3"/>
        <v>مستوفي</v>
      </c>
      <c r="D6" s="2">
        <v>17.0</v>
      </c>
      <c r="E6" s="2" t="str">
        <f t="shared" si="4"/>
        <v>مستوفي</v>
      </c>
      <c r="F6" s="2">
        <v>16.0</v>
      </c>
      <c r="G6" s="5" t="str">
        <f t="shared" si="5"/>
        <v>مستوفي</v>
      </c>
      <c r="H6" s="2">
        <v>14.5</v>
      </c>
      <c r="I6" s="2" t="str">
        <f t="shared" si="6"/>
        <v>مستوفي</v>
      </c>
      <c r="J6" s="2">
        <v>16.0</v>
      </c>
      <c r="K6" s="8" t="s">
        <v>50</v>
      </c>
      <c r="L6" s="7">
        <v>24063.0</v>
      </c>
      <c r="M6" s="9">
        <f t="shared" ref="M6:M15" si="8">M5+1</f>
        <v>4</v>
      </c>
    </row>
    <row r="7">
      <c r="A7" s="2" t="str">
        <f t="shared" si="1"/>
        <v>ناجحة</v>
      </c>
      <c r="B7" s="3">
        <f t="shared" si="2"/>
        <v>12.82142857</v>
      </c>
      <c r="C7" s="2" t="str">
        <f t="shared" si="3"/>
        <v>مستوفي</v>
      </c>
      <c r="D7" s="2">
        <v>12.0</v>
      </c>
      <c r="E7" s="2" t="str">
        <f t="shared" si="4"/>
        <v>مستوفي</v>
      </c>
      <c r="F7" s="2">
        <v>17.75</v>
      </c>
      <c r="G7" s="5" t="str">
        <f t="shared" si="5"/>
        <v>مستوفي</v>
      </c>
      <c r="H7" s="2">
        <v>15.75</v>
      </c>
      <c r="I7" s="2" t="str">
        <f t="shared" si="6"/>
        <v>مستوفي</v>
      </c>
      <c r="J7" s="2">
        <v>9.75</v>
      </c>
      <c r="K7" s="8" t="s">
        <v>54</v>
      </c>
      <c r="L7" s="7">
        <v>24066.0</v>
      </c>
      <c r="M7" s="9">
        <f t="shared" si="8"/>
        <v>5</v>
      </c>
    </row>
    <row r="8">
      <c r="A8" s="2" t="str">
        <f t="shared" si="1"/>
        <v>ناجحة</v>
      </c>
      <c r="B8" s="3">
        <f t="shared" si="2"/>
        <v>12.76785714</v>
      </c>
      <c r="C8" s="2" t="str">
        <f t="shared" si="3"/>
        <v>مستوفي</v>
      </c>
      <c r="D8" s="2">
        <v>11.0</v>
      </c>
      <c r="E8" s="2" t="str">
        <f t="shared" si="4"/>
        <v>مستوفي</v>
      </c>
      <c r="F8" s="2">
        <v>15.0</v>
      </c>
      <c r="G8" s="5" t="str">
        <f t="shared" si="5"/>
        <v>مستوفي</v>
      </c>
      <c r="H8" s="2">
        <v>17.0</v>
      </c>
      <c r="I8" s="2" t="str">
        <f t="shared" si="6"/>
        <v>مستوفي</v>
      </c>
      <c r="J8" s="2">
        <v>10.75</v>
      </c>
      <c r="K8" s="8" t="s">
        <v>60</v>
      </c>
      <c r="L8" s="7">
        <v>24053.0</v>
      </c>
      <c r="M8" s="9">
        <f t="shared" si="8"/>
        <v>6</v>
      </c>
    </row>
    <row r="9">
      <c r="A9" s="2" t="str">
        <f t="shared" si="1"/>
        <v>ناجحة</v>
      </c>
      <c r="B9" s="3">
        <f t="shared" si="2"/>
        <v>12.55357143</v>
      </c>
      <c r="C9" s="2" t="str">
        <f t="shared" si="3"/>
        <v>مستوفي</v>
      </c>
      <c r="D9" s="2">
        <v>14.5</v>
      </c>
      <c r="E9" s="2" t="str">
        <f t="shared" si="4"/>
        <v>مستوفي</v>
      </c>
      <c r="F9" s="2">
        <v>15.5</v>
      </c>
      <c r="G9" s="5" t="str">
        <f t="shared" si="5"/>
        <v>مستوفي</v>
      </c>
      <c r="H9" s="2">
        <v>17.25</v>
      </c>
      <c r="I9" s="2" t="str">
        <f t="shared" si="6"/>
        <v>مستوفي</v>
      </c>
      <c r="J9" s="2">
        <v>7.0</v>
      </c>
      <c r="K9" s="8" t="s">
        <v>63</v>
      </c>
      <c r="L9" s="7">
        <v>24055.0</v>
      </c>
      <c r="M9" s="9">
        <f t="shared" si="8"/>
        <v>7</v>
      </c>
    </row>
    <row r="10">
      <c r="A10" s="2" t="str">
        <f t="shared" si="1"/>
        <v>ناجحة</v>
      </c>
      <c r="B10" s="3">
        <f t="shared" si="2"/>
        <v>12.51785714</v>
      </c>
      <c r="C10" s="2" t="str">
        <f t="shared" si="3"/>
        <v>مستوفي</v>
      </c>
      <c r="D10" s="2">
        <v>10.5</v>
      </c>
      <c r="E10" s="2" t="str">
        <f t="shared" si="4"/>
        <v>مستوفي</v>
      </c>
      <c r="F10" s="2">
        <v>14.75</v>
      </c>
      <c r="G10" s="5" t="str">
        <f t="shared" si="5"/>
        <v>مستوفي</v>
      </c>
      <c r="H10" s="2">
        <v>13.75</v>
      </c>
      <c r="I10" s="2" t="str">
        <f t="shared" si="6"/>
        <v>مستوفي</v>
      </c>
      <c r="J10" s="2">
        <v>12.5</v>
      </c>
      <c r="K10" s="8" t="s">
        <v>67</v>
      </c>
      <c r="L10" s="7">
        <v>24067.0</v>
      </c>
      <c r="M10" s="9">
        <f t="shared" si="8"/>
        <v>8</v>
      </c>
    </row>
    <row r="11">
      <c r="A11" s="2" t="str">
        <f t="shared" si="1"/>
        <v>ناجحة</v>
      </c>
      <c r="B11" s="3">
        <f t="shared" si="2"/>
        <v>11.92857143</v>
      </c>
      <c r="C11" s="2" t="str">
        <f t="shared" si="3"/>
        <v>مستوفي</v>
      </c>
      <c r="D11" s="2">
        <v>11.0</v>
      </c>
      <c r="E11" s="2" t="str">
        <f t="shared" si="4"/>
        <v>مستوفي</v>
      </c>
      <c r="F11" s="2">
        <v>16.5</v>
      </c>
      <c r="G11" s="5" t="str">
        <f t="shared" si="5"/>
        <v>مستوفي</v>
      </c>
      <c r="H11" s="2">
        <v>15.0</v>
      </c>
      <c r="I11" s="2" t="str">
        <f t="shared" si="6"/>
        <v>مستوفي</v>
      </c>
      <c r="J11" s="2">
        <v>9.0</v>
      </c>
      <c r="K11" s="8" t="s">
        <v>69</v>
      </c>
      <c r="L11" s="7">
        <v>24058.0</v>
      </c>
      <c r="M11" s="9">
        <f t="shared" si="8"/>
        <v>9</v>
      </c>
    </row>
    <row r="12">
      <c r="A12" s="2" t="str">
        <f t="shared" si="1"/>
        <v>استدراك</v>
      </c>
      <c r="B12" s="3">
        <f t="shared" si="2"/>
        <v>11.17857143</v>
      </c>
      <c r="C12" s="2" t="str">
        <f t="shared" si="3"/>
        <v>غير مستوفي</v>
      </c>
      <c r="D12" s="2">
        <v>5.0</v>
      </c>
      <c r="E12" s="2" t="str">
        <f t="shared" si="4"/>
        <v>مستوفي</v>
      </c>
      <c r="F12" s="2">
        <v>13.25</v>
      </c>
      <c r="G12" s="5" t="str">
        <f t="shared" si="5"/>
        <v>مستوفي</v>
      </c>
      <c r="H12" s="2">
        <v>10.0</v>
      </c>
      <c r="I12" s="2" t="str">
        <f t="shared" si="6"/>
        <v>مستوفي</v>
      </c>
      <c r="J12" s="2">
        <v>16.0</v>
      </c>
      <c r="K12" s="8" t="s">
        <v>72</v>
      </c>
      <c r="L12" s="7">
        <v>24070.0</v>
      </c>
      <c r="M12" s="9">
        <f t="shared" si="8"/>
        <v>10</v>
      </c>
    </row>
    <row r="13">
      <c r="A13" s="2" t="str">
        <f t="shared" si="1"/>
        <v>استدراك</v>
      </c>
      <c r="B13" s="3">
        <f t="shared" si="2"/>
        <v>11.05357143</v>
      </c>
      <c r="C13" s="2" t="str">
        <f t="shared" si="3"/>
        <v>مستوفي</v>
      </c>
      <c r="D13" s="2">
        <v>11.5</v>
      </c>
      <c r="E13" s="2" t="str">
        <f t="shared" si="4"/>
        <v>مستوفي</v>
      </c>
      <c r="F13" s="2">
        <v>16.0</v>
      </c>
      <c r="G13" s="5" t="str">
        <f t="shared" si="5"/>
        <v>مستوفي</v>
      </c>
      <c r="H13" s="2">
        <v>17.25</v>
      </c>
      <c r="I13" s="2" t="str">
        <f t="shared" si="6"/>
        <v>غير مستوفي</v>
      </c>
      <c r="J13" s="2">
        <v>5.0</v>
      </c>
      <c r="K13" s="8" t="s">
        <v>75</v>
      </c>
      <c r="L13" s="7">
        <v>24068.0</v>
      </c>
      <c r="M13" s="9">
        <f t="shared" si="8"/>
        <v>11</v>
      </c>
    </row>
    <row r="14">
      <c r="A14" s="2" t="str">
        <f t="shared" si="1"/>
        <v>ناجحة</v>
      </c>
      <c r="B14" s="3">
        <f t="shared" si="2"/>
        <v>10.82142857</v>
      </c>
      <c r="C14" s="2" t="str">
        <f t="shared" si="3"/>
        <v>مستوفي</v>
      </c>
      <c r="D14" s="2">
        <v>9.0</v>
      </c>
      <c r="E14" s="2" t="str">
        <f t="shared" si="4"/>
        <v>مستوفي</v>
      </c>
      <c r="F14" s="2">
        <v>11.5</v>
      </c>
      <c r="G14" s="5" t="str">
        <f t="shared" si="5"/>
        <v>مستوفي</v>
      </c>
      <c r="H14" s="2">
        <v>12.5</v>
      </c>
      <c r="I14" s="2" t="str">
        <f t="shared" si="6"/>
        <v>مستوفي</v>
      </c>
      <c r="J14" s="2">
        <v>11.0</v>
      </c>
      <c r="K14" s="8" t="s">
        <v>79</v>
      </c>
      <c r="L14" s="7">
        <v>24072.0</v>
      </c>
      <c r="M14" s="9">
        <f t="shared" si="8"/>
        <v>12</v>
      </c>
    </row>
    <row r="15">
      <c r="A15" s="2" t="str">
        <f t="shared" si="1"/>
        <v>استدراك</v>
      </c>
      <c r="B15" s="3">
        <f t="shared" si="2"/>
        <v>10.42857143</v>
      </c>
      <c r="C15" s="2" t="str">
        <f t="shared" si="3"/>
        <v>غير مستوفي</v>
      </c>
      <c r="D15" s="2">
        <v>6.5</v>
      </c>
      <c r="E15" s="2" t="str">
        <f t="shared" si="4"/>
        <v>مستوفي</v>
      </c>
      <c r="F15" s="2">
        <v>14.5</v>
      </c>
      <c r="G15" s="5" t="str">
        <f t="shared" si="5"/>
        <v>مستوفي</v>
      </c>
      <c r="H15" s="2">
        <v>17.0</v>
      </c>
      <c r="I15" s="2" t="str">
        <f t="shared" si="6"/>
        <v>مستوفي</v>
      </c>
      <c r="J15" s="2">
        <v>8.0</v>
      </c>
      <c r="K15" s="8" t="s">
        <v>82</v>
      </c>
      <c r="L15" s="7">
        <v>24069.0</v>
      </c>
      <c r="M15" s="9">
        <f t="shared" si="8"/>
        <v>13</v>
      </c>
    </row>
    <row r="16">
      <c r="A16" s="2" t="str">
        <f t="shared" si="1"/>
        <v>استدراك</v>
      </c>
      <c r="B16" s="3">
        <f t="shared" si="2"/>
        <v>10.25</v>
      </c>
      <c r="C16" s="2" t="str">
        <f t="shared" si="3"/>
        <v>غير مستوفي</v>
      </c>
      <c r="D16" s="2">
        <v>3.5</v>
      </c>
      <c r="E16" s="2" t="str">
        <f t="shared" si="4"/>
        <v>مستوفي</v>
      </c>
      <c r="F16" s="2">
        <v>10.0</v>
      </c>
      <c r="G16" s="5" t="str">
        <f>IF(H17&gt;=10,"مستوفي",IF(and(B16&gt;=10,H16&gt;=7),"مستوفي","غير مستوفي"))</f>
        <v>مستوفي</v>
      </c>
      <c r="H16" s="2">
        <v>14.0</v>
      </c>
      <c r="I16" s="2" t="str">
        <f t="shared" si="6"/>
        <v>مستوفي</v>
      </c>
      <c r="J16" s="2">
        <v>13.5</v>
      </c>
      <c r="K16" s="14" t="s">
        <v>87</v>
      </c>
      <c r="L16" s="13">
        <v>24097.0</v>
      </c>
      <c r="M16" s="2">
        <v>14.0</v>
      </c>
    </row>
    <row r="17">
      <c r="A17" s="2" t="str">
        <f t="shared" si="1"/>
        <v>استدراك</v>
      </c>
      <c r="B17" s="3">
        <f t="shared" si="2"/>
        <v>9.428571429</v>
      </c>
      <c r="C17" s="2" t="str">
        <f t="shared" si="3"/>
        <v>غير مستوفي</v>
      </c>
      <c r="D17" s="2">
        <v>5.0</v>
      </c>
      <c r="E17" s="2" t="str">
        <f t="shared" si="4"/>
        <v>غير مستوفي</v>
      </c>
      <c r="F17" s="2">
        <v>7.25</v>
      </c>
      <c r="G17" s="5" t="str">
        <f t="shared" ref="G17:G25" si="9">IF(H17&gt;=10,"مستوفي",IF(and(B17&gt;=10,H17&gt;=7),"مستوفي","غير مستوفي"))</f>
        <v>غير مستوفي</v>
      </c>
      <c r="H17" s="2">
        <v>8.75</v>
      </c>
      <c r="I17" s="2" t="str">
        <f t="shared" si="6"/>
        <v>مستوفي</v>
      </c>
      <c r="J17" s="2">
        <v>14.25</v>
      </c>
      <c r="K17" s="8" t="s">
        <v>92</v>
      </c>
      <c r="L17" s="7">
        <v>24061.0</v>
      </c>
      <c r="M17" s="9">
        <f t="shared" ref="M17:M21" si="10">M16+1</f>
        <v>15</v>
      </c>
    </row>
    <row r="18">
      <c r="A18" s="2" t="str">
        <f t="shared" si="1"/>
        <v>استدراك</v>
      </c>
      <c r="B18" s="3">
        <f t="shared" si="2"/>
        <v>8.160714286</v>
      </c>
      <c r="C18" s="2" t="str">
        <f t="shared" si="3"/>
        <v>غير مستوفي</v>
      </c>
      <c r="D18" s="2">
        <v>4.0</v>
      </c>
      <c r="E18" s="2" t="str">
        <f t="shared" si="4"/>
        <v>مستوفي</v>
      </c>
      <c r="F18" s="2">
        <v>12.5</v>
      </c>
      <c r="G18" s="5" t="str">
        <f t="shared" si="9"/>
        <v>مستوفي</v>
      </c>
      <c r="H18" s="2">
        <v>12.75</v>
      </c>
      <c r="I18" s="2" t="str">
        <f t="shared" si="6"/>
        <v>غير مستوفي</v>
      </c>
      <c r="J18" s="2">
        <v>7.0</v>
      </c>
      <c r="K18" s="8" t="s">
        <v>94</v>
      </c>
      <c r="L18" s="7">
        <v>24074.0</v>
      </c>
      <c r="M18" s="9">
        <f t="shared" si="10"/>
        <v>16</v>
      </c>
    </row>
    <row r="19">
      <c r="A19" s="2" t="str">
        <f t="shared" si="1"/>
        <v>استدراك</v>
      </c>
      <c r="B19" s="3">
        <f t="shared" si="2"/>
        <v>6.678571429</v>
      </c>
      <c r="C19" s="2" t="str">
        <f t="shared" si="3"/>
        <v>غير مستوفي</v>
      </c>
      <c r="D19" s="2">
        <v>7.0</v>
      </c>
      <c r="E19" s="2" t="str">
        <f t="shared" si="4"/>
        <v>مستوفي</v>
      </c>
      <c r="F19" s="2">
        <v>13.25</v>
      </c>
      <c r="G19" s="5" t="str">
        <f t="shared" si="9"/>
        <v>غير مستوفي</v>
      </c>
      <c r="H19" s="2">
        <v>8.0</v>
      </c>
      <c r="I19" s="2" t="str">
        <f t="shared" si="6"/>
        <v>غير مستوفي</v>
      </c>
      <c r="J19" s="2">
        <v>3.0</v>
      </c>
      <c r="K19" s="8" t="s">
        <v>95</v>
      </c>
      <c r="L19" s="7">
        <v>24062.0</v>
      </c>
      <c r="M19" s="9">
        <f t="shared" si="10"/>
        <v>17</v>
      </c>
    </row>
    <row r="20">
      <c r="A20" s="2" t="str">
        <f t="shared" si="1"/>
        <v>استدراك</v>
      </c>
      <c r="B20" s="3">
        <f t="shared" si="2"/>
        <v>6.160714286</v>
      </c>
      <c r="C20" s="2" t="str">
        <f t="shared" si="3"/>
        <v>غير مستوفي</v>
      </c>
      <c r="D20" s="2"/>
      <c r="E20" s="2" t="str">
        <f t="shared" si="4"/>
        <v>غير مستوفي</v>
      </c>
      <c r="F20" s="2"/>
      <c r="G20" s="5" t="str">
        <f t="shared" si="9"/>
        <v>غير مستوفي</v>
      </c>
      <c r="H20" s="2"/>
      <c r="I20" s="2" t="str">
        <f t="shared" si="6"/>
        <v>مستوفي</v>
      </c>
      <c r="J20" s="2">
        <v>17.25</v>
      </c>
      <c r="K20" s="8" t="s">
        <v>96</v>
      </c>
      <c r="L20" s="7">
        <v>24064.0</v>
      </c>
      <c r="M20" s="9">
        <f t="shared" si="10"/>
        <v>18</v>
      </c>
    </row>
    <row r="21">
      <c r="A21" s="2" t="str">
        <f t="shared" si="1"/>
        <v>استدراك</v>
      </c>
      <c r="B21" s="3">
        <f t="shared" si="2"/>
        <v>0</v>
      </c>
      <c r="C21" s="2" t="str">
        <f t="shared" si="3"/>
        <v>غير مستوفي</v>
      </c>
      <c r="D21" s="2"/>
      <c r="E21" s="2" t="str">
        <f t="shared" si="4"/>
        <v>غير مستوفي</v>
      </c>
      <c r="F21" s="2"/>
      <c r="G21" s="5" t="str">
        <f t="shared" si="9"/>
        <v>غير مستوفي</v>
      </c>
      <c r="H21" s="2"/>
      <c r="I21" s="2" t="str">
        <f t="shared" si="6"/>
        <v>غير مستوفي</v>
      </c>
      <c r="J21" s="2"/>
      <c r="K21" s="8" t="s">
        <v>97</v>
      </c>
      <c r="L21" s="7">
        <v>24057.0</v>
      </c>
      <c r="M21" s="9">
        <f t="shared" si="10"/>
        <v>19</v>
      </c>
    </row>
    <row r="22">
      <c r="A22" s="2" t="str">
        <f t="shared" si="1"/>
        <v>استدراك</v>
      </c>
      <c r="B22" s="3">
        <f t="shared" si="2"/>
        <v>0</v>
      </c>
      <c r="C22" s="2" t="str">
        <f t="shared" si="3"/>
        <v>غير مستوفي</v>
      </c>
      <c r="D22" s="10"/>
      <c r="E22" s="2" t="str">
        <f t="shared" si="4"/>
        <v>غير مستوفي</v>
      </c>
      <c r="F22" s="10"/>
      <c r="G22" s="5" t="str">
        <f t="shared" si="9"/>
        <v>غير مستوفي</v>
      </c>
      <c r="H22" s="10"/>
      <c r="I22" s="2" t="str">
        <f t="shared" si="6"/>
        <v>غير مستوفي</v>
      </c>
      <c r="J22" s="10"/>
      <c r="K22" s="8" t="s">
        <v>98</v>
      </c>
      <c r="L22" s="7">
        <v>24065.0</v>
      </c>
      <c r="M22" s="2">
        <v>18.0</v>
      </c>
    </row>
    <row r="23">
      <c r="A23" s="2" t="str">
        <f t="shared" si="1"/>
        <v>استدراك</v>
      </c>
      <c r="B23" s="3">
        <f t="shared" si="2"/>
        <v>0</v>
      </c>
      <c r="C23" s="2" t="str">
        <f t="shared" si="3"/>
        <v>غير مستوفي</v>
      </c>
      <c r="D23" s="10"/>
      <c r="E23" s="2" t="str">
        <f t="shared" si="4"/>
        <v>غير مستوفي</v>
      </c>
      <c r="F23" s="10"/>
      <c r="G23" s="5" t="str">
        <f t="shared" si="9"/>
        <v>غير مستوفي</v>
      </c>
      <c r="H23" s="10"/>
      <c r="I23" s="2" t="str">
        <f t="shared" si="6"/>
        <v>غير مستوفي</v>
      </c>
      <c r="J23" s="10"/>
      <c r="K23" s="8" t="s">
        <v>99</v>
      </c>
      <c r="L23" s="7">
        <v>24071.0</v>
      </c>
      <c r="M23" s="2">
        <v>18.0</v>
      </c>
    </row>
    <row r="24">
      <c r="A24" s="2" t="str">
        <f t="shared" si="1"/>
        <v>استدراك</v>
      </c>
      <c r="B24" s="3">
        <f t="shared" si="2"/>
        <v>0</v>
      </c>
      <c r="C24" s="2" t="str">
        <f t="shared" si="3"/>
        <v>غير مستوفي</v>
      </c>
      <c r="D24" s="10"/>
      <c r="E24" s="2" t="str">
        <f t="shared" si="4"/>
        <v>غير مستوفي</v>
      </c>
      <c r="F24" s="10"/>
      <c r="G24" s="5" t="str">
        <f t="shared" si="9"/>
        <v>غير مستوفي</v>
      </c>
      <c r="H24" s="10"/>
      <c r="I24" s="2" t="str">
        <f t="shared" si="6"/>
        <v>غير مستوفي</v>
      </c>
      <c r="J24" s="10"/>
      <c r="K24" s="8" t="s">
        <v>100</v>
      </c>
      <c r="L24" s="7">
        <v>24073.0</v>
      </c>
      <c r="M24" s="2">
        <v>18.0</v>
      </c>
    </row>
    <row r="25">
      <c r="A25" s="2" t="str">
        <f t="shared" si="1"/>
        <v>استدراك</v>
      </c>
      <c r="B25" s="3">
        <f t="shared" si="2"/>
        <v>0</v>
      </c>
      <c r="C25" s="2" t="str">
        <f t="shared" si="3"/>
        <v>غير مستوفي</v>
      </c>
      <c r="D25" s="15"/>
      <c r="E25" s="2" t="str">
        <f t="shared" si="4"/>
        <v>غير مستوفي</v>
      </c>
      <c r="F25" s="15"/>
      <c r="G25" s="5" t="str">
        <f t="shared" si="9"/>
        <v>غير مستوفي</v>
      </c>
      <c r="H25" s="15"/>
      <c r="I25" s="2" t="str">
        <f t="shared" si="6"/>
        <v>غير مستوفي</v>
      </c>
      <c r="J25" s="15"/>
      <c r="K25" s="8" t="s">
        <v>101</v>
      </c>
      <c r="L25" s="7">
        <v>24075.0</v>
      </c>
      <c r="M25" s="2">
        <v>18.0</v>
      </c>
    </row>
  </sheetData>
  <conditionalFormatting sqref="C2:C25 E2:E25 G2:G25 I2:I25">
    <cfRule type="cellIs" dxfId="0" priority="1" operator="equal">
      <formula>"مستوفي"</formula>
    </cfRule>
  </conditionalFormatting>
  <conditionalFormatting sqref="C2:C25 E2:E25 G2:G25 I2:I25">
    <cfRule type="cellIs" dxfId="1" priority="2" operator="equal">
      <formula>"غير مستوفي"</formula>
    </cfRule>
  </conditionalFormatting>
  <conditionalFormatting sqref="A2:A25">
    <cfRule type="cellIs" dxfId="0" priority="3" operator="equal">
      <formula>"ناجحة"</formula>
    </cfRule>
  </conditionalFormatting>
  <conditionalFormatting sqref="A2:A25">
    <cfRule type="cellIs" dxfId="1" priority="4" operator="equal">
      <formula>"استدراك"</formula>
    </cfRule>
  </conditionalFormatting>
  <conditionalFormatting sqref="C2:C25 E2:E25 G2:G25">
    <cfRule type="notContainsBlanks" dxfId="0" priority="5">
      <formula>LEN(TRIM(C2))&gt;0</formula>
    </cfRule>
  </conditionalFormatting>
  <conditionalFormatting sqref="C2:C25 E2:E25 G2:G25">
    <cfRule type="cellIs" dxfId="1" priority="6" operator="equal">
      <formula>"غير مستوفي"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3.38"/>
    <col customWidth="1" min="12" max="12" width="15.5"/>
    <col customWidth="1" min="13" max="13" width="20.88"/>
  </cols>
  <sheetData>
    <row r="1">
      <c r="A1" s="1" t="s">
        <v>0</v>
      </c>
      <c r="B1" s="1" t="s">
        <v>1</v>
      </c>
      <c r="C1" s="1" t="s">
        <v>2</v>
      </c>
      <c r="D1" s="1" t="s">
        <v>13</v>
      </c>
      <c r="E1" s="1" t="s">
        <v>4</v>
      </c>
      <c r="F1" s="1" t="s">
        <v>15</v>
      </c>
      <c r="G1" s="1" t="s">
        <v>6</v>
      </c>
      <c r="H1" s="1" t="s">
        <v>17</v>
      </c>
      <c r="I1" s="1" t="s">
        <v>19</v>
      </c>
      <c r="J1" s="1" t="s">
        <v>21</v>
      </c>
      <c r="K1" s="1" t="s">
        <v>8</v>
      </c>
      <c r="L1" s="1" t="s">
        <v>22</v>
      </c>
      <c r="M1" s="1" t="s">
        <v>10</v>
      </c>
      <c r="N1" s="1" t="s">
        <v>11</v>
      </c>
      <c r="O1" s="1" t="s">
        <v>12</v>
      </c>
    </row>
    <row r="2">
      <c r="A2" s="2" t="str">
        <f t="shared" ref="A2:A16" si="1">IF(and(B2&gt;=10,D2&gt;=7,F2&gt;=7,H2&gt;=7,J2&gt;=7,L2&gt;=7),"ناجحة","استدراك")</f>
        <v>ناجحة</v>
      </c>
      <c r="B2" s="3">
        <f t="shared" ref="B2:B16" si="2">(L2*5+J2*3+H2*3+F2*2+D2*4)/17</f>
        <v>18.39705882</v>
      </c>
      <c r="C2" s="2" t="str">
        <f t="shared" ref="C2:C16" si="3">IF(D2&gt;=10,"مستوفي",IF(and(B2&gt;=10,D2&gt;=7),"مستوفي","غير مستوفي"))</f>
        <v>مستوفي</v>
      </c>
      <c r="D2" s="2">
        <v>18.0</v>
      </c>
      <c r="E2" s="4" t="str">
        <f t="shared" ref="E2:E16" si="4">IF(J2&gt;=10,"مستوفي",IF(and(B2&gt;=10,F2&gt;=7),"مستوفي","غير مستوفي"))</f>
        <v>مستوفي</v>
      </c>
      <c r="F2" s="2">
        <v>18.5</v>
      </c>
      <c r="G2" s="4" t="str">
        <f t="shared" ref="G2:G16" si="5">IF(J2&gt;=10,"مستوفي",IF(and(B2&gt;=10,H2&gt;=7),"مستوفي","غير مستوفي"))</f>
        <v>مستوفي</v>
      </c>
      <c r="H2" s="2">
        <v>18.0</v>
      </c>
      <c r="I2" s="2" t="str">
        <f t="shared" ref="I2:I16" si="6">IF(J2&gt;=10,"مستوفي",IF(and(B2&gt;=10,J2&gt;=7),"مستوفي","غير مستوفي"))</f>
        <v>مستوفي</v>
      </c>
      <c r="J2" s="2">
        <v>18.25</v>
      </c>
      <c r="K2" s="2" t="str">
        <f t="shared" ref="K2:K16" si="7">IF(L2&gt;=10,"مستوفي",IF(and(B2&gt;=10,L2&gt;=7),"مستوفي","غير مستوفي"))</f>
        <v>مستوفي</v>
      </c>
      <c r="L2" s="2">
        <v>19.0</v>
      </c>
      <c r="M2" s="6" t="s">
        <v>34</v>
      </c>
      <c r="N2" s="7">
        <v>24026.0</v>
      </c>
      <c r="O2" s="2">
        <v>1.0</v>
      </c>
    </row>
    <row r="3">
      <c r="A3" s="2" t="str">
        <f t="shared" si="1"/>
        <v>ناجحة</v>
      </c>
      <c r="B3" s="3">
        <f t="shared" si="2"/>
        <v>17.11764706</v>
      </c>
      <c r="C3" s="2" t="str">
        <f t="shared" si="3"/>
        <v>مستوفي</v>
      </c>
      <c r="D3" s="2">
        <v>16.5</v>
      </c>
      <c r="E3" s="4" t="str">
        <f t="shared" si="4"/>
        <v>مستوفي</v>
      </c>
      <c r="F3" s="2">
        <v>18.5</v>
      </c>
      <c r="G3" s="4" t="str">
        <f t="shared" si="5"/>
        <v>مستوفي</v>
      </c>
      <c r="H3" s="2">
        <v>18.5</v>
      </c>
      <c r="I3" s="2" t="str">
        <f t="shared" si="6"/>
        <v>مستوفي</v>
      </c>
      <c r="J3" s="2">
        <v>15.0</v>
      </c>
      <c r="K3" s="2" t="str">
        <f t="shared" si="7"/>
        <v>مستوفي</v>
      </c>
      <c r="L3" s="2">
        <v>17.5</v>
      </c>
      <c r="M3" s="6" t="s">
        <v>41</v>
      </c>
      <c r="N3" s="7">
        <v>24030.0</v>
      </c>
      <c r="O3" s="10">
        <f t="shared" ref="O3:O15" si="8">O2+1</f>
        <v>2</v>
      </c>
    </row>
    <row r="4">
      <c r="A4" s="2" t="str">
        <f t="shared" si="1"/>
        <v>ناجحة</v>
      </c>
      <c r="B4" s="3">
        <f t="shared" si="2"/>
        <v>16.89705882</v>
      </c>
      <c r="C4" s="2" t="str">
        <f t="shared" si="3"/>
        <v>مستوفي</v>
      </c>
      <c r="D4" s="2">
        <v>17.75</v>
      </c>
      <c r="E4" s="4" t="str">
        <f t="shared" si="4"/>
        <v>مستوفي</v>
      </c>
      <c r="F4" s="2">
        <v>17.0</v>
      </c>
      <c r="G4" s="4" t="str">
        <f t="shared" si="5"/>
        <v>مستوفي</v>
      </c>
      <c r="H4" s="2">
        <v>13.0</v>
      </c>
      <c r="I4" s="2" t="str">
        <f t="shared" si="6"/>
        <v>مستوفي</v>
      </c>
      <c r="J4" s="2">
        <v>16.5</v>
      </c>
      <c r="K4" s="2" t="str">
        <f t="shared" si="7"/>
        <v>مستوفي</v>
      </c>
      <c r="L4" s="2">
        <v>18.75</v>
      </c>
      <c r="M4" s="6" t="s">
        <v>47</v>
      </c>
      <c r="N4" s="7">
        <v>24034.0</v>
      </c>
      <c r="O4" s="10">
        <f t="shared" si="8"/>
        <v>3</v>
      </c>
    </row>
    <row r="5">
      <c r="A5" s="2" t="str">
        <f t="shared" si="1"/>
        <v>ناجحة</v>
      </c>
      <c r="B5" s="3">
        <f t="shared" si="2"/>
        <v>16.69117647</v>
      </c>
      <c r="C5" s="2" t="str">
        <f t="shared" si="3"/>
        <v>مستوفي</v>
      </c>
      <c r="D5" s="2">
        <v>13.25</v>
      </c>
      <c r="E5" s="4" t="str">
        <f t="shared" si="4"/>
        <v>مستوفي</v>
      </c>
      <c r="F5" s="2">
        <v>18.0</v>
      </c>
      <c r="G5" s="4" t="str">
        <f t="shared" si="5"/>
        <v>مستوفي</v>
      </c>
      <c r="H5" s="2">
        <v>17.0</v>
      </c>
      <c r="I5" s="2" t="str">
        <f t="shared" si="6"/>
        <v>مستوفي</v>
      </c>
      <c r="J5" s="2">
        <v>16.25</v>
      </c>
      <c r="K5" s="2" t="str">
        <f t="shared" si="7"/>
        <v>مستوفي</v>
      </c>
      <c r="L5" s="2">
        <v>19.0</v>
      </c>
      <c r="M5" s="6" t="s">
        <v>53</v>
      </c>
      <c r="N5" s="7">
        <v>24027.0</v>
      </c>
      <c r="O5" s="10">
        <f t="shared" si="8"/>
        <v>4</v>
      </c>
    </row>
    <row r="6">
      <c r="A6" s="2" t="str">
        <f t="shared" si="1"/>
        <v>ناجحة</v>
      </c>
      <c r="B6" s="3">
        <f t="shared" si="2"/>
        <v>16.07352941</v>
      </c>
      <c r="C6" s="2" t="str">
        <f t="shared" si="3"/>
        <v>مستوفي</v>
      </c>
      <c r="D6" s="2">
        <v>12.75</v>
      </c>
      <c r="E6" s="4" t="str">
        <f t="shared" si="4"/>
        <v>مستوفي</v>
      </c>
      <c r="F6" s="2">
        <v>16.0</v>
      </c>
      <c r="G6" s="4" t="str">
        <f t="shared" si="5"/>
        <v>مستوفي</v>
      </c>
      <c r="H6" s="2">
        <v>15.75</v>
      </c>
      <c r="I6" s="2" t="str">
        <f t="shared" si="6"/>
        <v>مستوفي</v>
      </c>
      <c r="J6" s="2">
        <v>16.0</v>
      </c>
      <c r="K6" s="2" t="str">
        <f t="shared" si="7"/>
        <v>مستوفي</v>
      </c>
      <c r="L6" s="2">
        <v>19.0</v>
      </c>
      <c r="M6" s="6" t="s">
        <v>59</v>
      </c>
      <c r="N6" s="7">
        <v>24023.0</v>
      </c>
      <c r="O6" s="10">
        <f t="shared" si="8"/>
        <v>5</v>
      </c>
    </row>
    <row r="7">
      <c r="A7" s="2" t="str">
        <f t="shared" si="1"/>
        <v>ناجحة</v>
      </c>
      <c r="B7" s="3">
        <f t="shared" si="2"/>
        <v>15.95588235</v>
      </c>
      <c r="C7" s="2" t="str">
        <f t="shared" si="3"/>
        <v>مستوفي</v>
      </c>
      <c r="D7" s="2">
        <v>16.75</v>
      </c>
      <c r="E7" s="4" t="str">
        <f t="shared" si="4"/>
        <v>مستوفي</v>
      </c>
      <c r="F7" s="2">
        <v>18.5</v>
      </c>
      <c r="G7" s="4" t="str">
        <f t="shared" si="5"/>
        <v>مستوفي</v>
      </c>
      <c r="H7" s="2">
        <v>17.75</v>
      </c>
      <c r="I7" s="2" t="str">
        <f t="shared" si="6"/>
        <v>مستوفي</v>
      </c>
      <c r="J7" s="2">
        <v>18.0</v>
      </c>
      <c r="K7" s="2" t="str">
        <f t="shared" si="7"/>
        <v>مستوفي</v>
      </c>
      <c r="L7" s="2">
        <v>12.0</v>
      </c>
      <c r="M7" s="6" t="s">
        <v>65</v>
      </c>
      <c r="N7" s="7">
        <v>24024.0</v>
      </c>
      <c r="O7" s="10">
        <f t="shared" si="8"/>
        <v>6</v>
      </c>
    </row>
    <row r="8">
      <c r="A8" s="2" t="str">
        <f t="shared" si="1"/>
        <v>ناجحة</v>
      </c>
      <c r="B8" s="3">
        <f t="shared" si="2"/>
        <v>15.23529412</v>
      </c>
      <c r="C8" s="2" t="str">
        <f t="shared" si="3"/>
        <v>مستوفي</v>
      </c>
      <c r="D8" s="2">
        <v>13.0</v>
      </c>
      <c r="E8" s="4" t="str">
        <f t="shared" si="4"/>
        <v>مستوفي</v>
      </c>
      <c r="F8" s="2">
        <v>15.5</v>
      </c>
      <c r="G8" s="4" t="str">
        <f t="shared" si="5"/>
        <v>مستوفي</v>
      </c>
      <c r="H8" s="2">
        <v>16.0</v>
      </c>
      <c r="I8" s="2" t="str">
        <f t="shared" si="6"/>
        <v>مستوفي</v>
      </c>
      <c r="J8" s="2">
        <v>13.5</v>
      </c>
      <c r="K8" s="2" t="str">
        <f t="shared" si="7"/>
        <v>مستوفي</v>
      </c>
      <c r="L8" s="2">
        <v>17.5</v>
      </c>
      <c r="M8" s="6" t="s">
        <v>68</v>
      </c>
      <c r="N8" s="7">
        <v>24028.0</v>
      </c>
      <c r="O8" s="10">
        <f t="shared" si="8"/>
        <v>7</v>
      </c>
    </row>
    <row r="9">
      <c r="A9" s="2" t="str">
        <f t="shared" si="1"/>
        <v>ناجحة</v>
      </c>
      <c r="B9" s="3">
        <f t="shared" si="2"/>
        <v>15.19117647</v>
      </c>
      <c r="C9" s="2" t="str">
        <f t="shared" si="3"/>
        <v>مستوفي</v>
      </c>
      <c r="D9" s="2">
        <v>13.75</v>
      </c>
      <c r="E9" s="4" t="str">
        <f t="shared" si="4"/>
        <v>مستوفي</v>
      </c>
      <c r="F9" s="2">
        <v>14.0</v>
      </c>
      <c r="G9" s="4" t="str">
        <f t="shared" si="5"/>
        <v>مستوفي</v>
      </c>
      <c r="H9" s="2">
        <v>14.0</v>
      </c>
      <c r="I9" s="2" t="str">
        <f t="shared" si="6"/>
        <v>مستوفي</v>
      </c>
      <c r="J9" s="2">
        <v>16.5</v>
      </c>
      <c r="K9" s="2" t="str">
        <f t="shared" si="7"/>
        <v>مستوفي</v>
      </c>
      <c r="L9" s="2">
        <v>16.75</v>
      </c>
      <c r="M9" s="6" t="s">
        <v>71</v>
      </c>
      <c r="N9" s="7">
        <v>24036.0</v>
      </c>
      <c r="O9" s="10">
        <f t="shared" si="8"/>
        <v>8</v>
      </c>
    </row>
    <row r="10">
      <c r="A10" s="2" t="str">
        <f t="shared" si="1"/>
        <v>ناجحة</v>
      </c>
      <c r="B10" s="3">
        <f t="shared" si="2"/>
        <v>14.86764706</v>
      </c>
      <c r="C10" s="2" t="str">
        <f t="shared" si="3"/>
        <v>مستوفي</v>
      </c>
      <c r="D10" s="2">
        <v>16.5</v>
      </c>
      <c r="E10" s="4" t="str">
        <f t="shared" si="4"/>
        <v>مستوفي</v>
      </c>
      <c r="F10" s="2">
        <v>13.5</v>
      </c>
      <c r="G10" s="4" t="str">
        <f t="shared" si="5"/>
        <v>مستوفي</v>
      </c>
      <c r="H10" s="2">
        <v>13.0</v>
      </c>
      <c r="I10" s="2" t="str">
        <f t="shared" si="6"/>
        <v>مستوفي</v>
      </c>
      <c r="J10" s="2">
        <v>16.5</v>
      </c>
      <c r="K10" s="2" t="str">
        <f t="shared" si="7"/>
        <v>مستوفي</v>
      </c>
      <c r="L10" s="2">
        <v>14.25</v>
      </c>
      <c r="M10" s="6" t="s">
        <v>74</v>
      </c>
      <c r="N10" s="7">
        <v>24037.0</v>
      </c>
      <c r="O10" s="10">
        <f t="shared" si="8"/>
        <v>9</v>
      </c>
    </row>
    <row r="11">
      <c r="A11" s="2" t="str">
        <f t="shared" si="1"/>
        <v>ناجحة</v>
      </c>
      <c r="B11" s="3">
        <f t="shared" si="2"/>
        <v>14.27941176</v>
      </c>
      <c r="C11" s="2" t="str">
        <f t="shared" si="3"/>
        <v>مستوفي</v>
      </c>
      <c r="D11" s="2">
        <v>15.0</v>
      </c>
      <c r="E11" s="4" t="str">
        <f t="shared" si="4"/>
        <v>مستوفي</v>
      </c>
      <c r="F11" s="2">
        <v>16.0</v>
      </c>
      <c r="G11" s="4" t="str">
        <f t="shared" si="5"/>
        <v>مستوفي</v>
      </c>
      <c r="H11" s="2">
        <v>10.0</v>
      </c>
      <c r="I11" s="2" t="str">
        <f t="shared" si="6"/>
        <v>مستوفي</v>
      </c>
      <c r="J11" s="2">
        <v>17.75</v>
      </c>
      <c r="K11" s="2" t="str">
        <f t="shared" si="7"/>
        <v>مستوفي</v>
      </c>
      <c r="L11" s="2">
        <v>13.5</v>
      </c>
      <c r="M11" s="6" t="s">
        <v>77</v>
      </c>
      <c r="N11" s="7">
        <v>24035.0</v>
      </c>
      <c r="O11" s="10">
        <f t="shared" si="8"/>
        <v>10</v>
      </c>
    </row>
    <row r="12">
      <c r="A12" s="2" t="str">
        <f t="shared" si="1"/>
        <v>استدراك</v>
      </c>
      <c r="B12" s="3">
        <f t="shared" si="2"/>
        <v>13.30882353</v>
      </c>
      <c r="C12" s="2" t="str">
        <f t="shared" si="3"/>
        <v>مستوفي</v>
      </c>
      <c r="D12" s="2">
        <v>12.75</v>
      </c>
      <c r="E12" s="4" t="str">
        <f t="shared" si="4"/>
        <v>مستوفي</v>
      </c>
      <c r="F12" s="2">
        <v>15.5</v>
      </c>
      <c r="G12" s="4" t="str">
        <f t="shared" si="5"/>
        <v>مستوفي</v>
      </c>
      <c r="H12" s="2">
        <v>12.25</v>
      </c>
      <c r="I12" s="2" t="str">
        <f t="shared" si="6"/>
        <v>غير مستوفي</v>
      </c>
      <c r="J12" s="2">
        <v>5.0</v>
      </c>
      <c r="K12" s="2" t="str">
        <f t="shared" si="7"/>
        <v>مستوفي</v>
      </c>
      <c r="L12" s="2">
        <v>18.5</v>
      </c>
      <c r="M12" s="6" t="s">
        <v>81</v>
      </c>
      <c r="N12" s="7">
        <v>24033.0</v>
      </c>
      <c r="O12" s="10">
        <f t="shared" si="8"/>
        <v>11</v>
      </c>
    </row>
    <row r="13">
      <c r="A13" s="2" t="str">
        <f t="shared" si="1"/>
        <v>ناجحة</v>
      </c>
      <c r="B13" s="3">
        <f t="shared" si="2"/>
        <v>12.58823529</v>
      </c>
      <c r="C13" s="2" t="str">
        <f t="shared" si="3"/>
        <v>مستوفي</v>
      </c>
      <c r="D13" s="2">
        <v>10.0</v>
      </c>
      <c r="E13" s="4" t="str">
        <f t="shared" si="4"/>
        <v>مستوفي</v>
      </c>
      <c r="F13" s="2">
        <v>16.5</v>
      </c>
      <c r="G13" s="4" t="str">
        <f t="shared" si="5"/>
        <v>مستوفي</v>
      </c>
      <c r="H13" s="2">
        <v>15.75</v>
      </c>
      <c r="I13" s="2" t="str">
        <f t="shared" si="6"/>
        <v>مستوفي</v>
      </c>
      <c r="J13" s="2">
        <v>10.0</v>
      </c>
      <c r="K13" s="2" t="str">
        <f t="shared" si="7"/>
        <v>مستوفي</v>
      </c>
      <c r="L13" s="2">
        <v>12.75</v>
      </c>
      <c r="M13" s="6" t="s">
        <v>84</v>
      </c>
      <c r="N13" s="7">
        <v>24031.0</v>
      </c>
      <c r="O13" s="10">
        <f t="shared" si="8"/>
        <v>12</v>
      </c>
    </row>
    <row r="14">
      <c r="A14" s="2" t="str">
        <f t="shared" si="1"/>
        <v>استدراك</v>
      </c>
      <c r="B14" s="3">
        <f t="shared" si="2"/>
        <v>11.73529412</v>
      </c>
      <c r="C14" s="2" t="str">
        <f t="shared" si="3"/>
        <v>مستوفي</v>
      </c>
      <c r="D14" s="2">
        <v>7.25</v>
      </c>
      <c r="E14" s="4" t="str">
        <f t="shared" si="4"/>
        <v>مستوفي</v>
      </c>
      <c r="F14" s="2">
        <v>10.5</v>
      </c>
      <c r="G14" s="4" t="str">
        <f t="shared" si="5"/>
        <v>مستوفي</v>
      </c>
      <c r="H14" s="2">
        <v>15.0</v>
      </c>
      <c r="I14" s="2" t="str">
        <f t="shared" si="6"/>
        <v>غير مستوفي</v>
      </c>
      <c r="J14" s="2">
        <v>5.25</v>
      </c>
      <c r="K14" s="2" t="str">
        <f t="shared" si="7"/>
        <v>مستوفي</v>
      </c>
      <c r="L14" s="2">
        <v>17.75</v>
      </c>
      <c r="M14" s="6" t="s">
        <v>88</v>
      </c>
      <c r="N14" s="7">
        <v>24025.0</v>
      </c>
      <c r="O14" s="10">
        <f t="shared" si="8"/>
        <v>13</v>
      </c>
    </row>
    <row r="15">
      <c r="A15" s="2" t="str">
        <f t="shared" si="1"/>
        <v>استدراك</v>
      </c>
      <c r="B15" s="3">
        <f t="shared" si="2"/>
        <v>0</v>
      </c>
      <c r="C15" s="2" t="str">
        <f t="shared" si="3"/>
        <v>غير مستوفي</v>
      </c>
      <c r="D15" s="2"/>
      <c r="E15" s="4" t="str">
        <f t="shared" si="4"/>
        <v>غير مستوفي</v>
      </c>
      <c r="F15" s="2"/>
      <c r="G15" s="4" t="str">
        <f t="shared" si="5"/>
        <v>غير مستوفي</v>
      </c>
      <c r="H15" s="2"/>
      <c r="I15" s="2" t="str">
        <f t="shared" si="6"/>
        <v>غير مستوفي</v>
      </c>
      <c r="J15" s="2"/>
      <c r="K15" s="2" t="str">
        <f t="shared" si="7"/>
        <v>غير مستوفي</v>
      </c>
      <c r="L15" s="2"/>
      <c r="M15" s="6" t="s">
        <v>91</v>
      </c>
      <c r="N15" s="7">
        <v>24029.0</v>
      </c>
      <c r="O15" s="10">
        <f t="shared" si="8"/>
        <v>14</v>
      </c>
    </row>
    <row r="16">
      <c r="A16" s="2" t="str">
        <f t="shared" si="1"/>
        <v>استدراك</v>
      </c>
      <c r="B16" s="3">
        <f t="shared" si="2"/>
        <v>0</v>
      </c>
      <c r="C16" s="2" t="str">
        <f t="shared" si="3"/>
        <v>غير مستوفي</v>
      </c>
      <c r="D16" s="2"/>
      <c r="E16" s="4" t="str">
        <f t="shared" si="4"/>
        <v>غير مستوفي</v>
      </c>
      <c r="F16" s="2"/>
      <c r="G16" s="4" t="str">
        <f t="shared" si="5"/>
        <v>غير مستوفي</v>
      </c>
      <c r="H16" s="2"/>
      <c r="I16" s="2" t="str">
        <f t="shared" si="6"/>
        <v>غير مستوفي</v>
      </c>
      <c r="J16" s="2"/>
      <c r="K16" s="2" t="str">
        <f t="shared" si="7"/>
        <v>غير مستوفي</v>
      </c>
      <c r="L16" s="2"/>
      <c r="M16" s="6" t="s">
        <v>93</v>
      </c>
      <c r="N16" s="7">
        <v>24032.0</v>
      </c>
      <c r="O16" s="2">
        <v>14.0</v>
      </c>
    </row>
  </sheetData>
  <conditionalFormatting sqref="A2:A16">
    <cfRule type="cellIs" dxfId="0" priority="1" operator="equal">
      <formula>"ناجحة"</formula>
    </cfRule>
  </conditionalFormatting>
  <conditionalFormatting sqref="A2:A16">
    <cfRule type="cellIs" dxfId="1" priority="2" operator="equal">
      <formula>"استدراك"</formula>
    </cfRule>
  </conditionalFormatting>
  <conditionalFormatting sqref="C2:C16 E2:I16 K2:K16">
    <cfRule type="cellIs" dxfId="0" priority="3" operator="equal">
      <formula>"مستوفي"</formula>
    </cfRule>
  </conditionalFormatting>
  <conditionalFormatting sqref="C2:C16 E2:I16 K2:K16">
    <cfRule type="cellIs" dxfId="1" priority="4" operator="equal">
      <formula>"غير مستوفي"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4.13"/>
    <col customWidth="1" min="5" max="5" width="14.75"/>
    <col customWidth="1" min="6" max="6" width="17.88"/>
    <col customWidth="1" min="7" max="7" width="19.5"/>
  </cols>
  <sheetData>
    <row r="1">
      <c r="A1" s="1" t="s">
        <v>0</v>
      </c>
      <c r="B1" s="1" t="s">
        <v>1</v>
      </c>
      <c r="C1" s="1" t="s">
        <v>6</v>
      </c>
      <c r="D1" s="1" t="s">
        <v>23</v>
      </c>
      <c r="E1" s="1" t="s">
        <v>24</v>
      </c>
      <c r="F1" s="1" t="s">
        <v>25</v>
      </c>
      <c r="G1" s="1" t="s">
        <v>10</v>
      </c>
      <c r="H1" s="1" t="s">
        <v>11</v>
      </c>
      <c r="I1" s="1" t="s">
        <v>12</v>
      </c>
    </row>
    <row r="2">
      <c r="A2" s="2" t="str">
        <f t="shared" ref="A2:A23" si="1">IF(and(B2&gt;=10,D2&gt;=7,F2&gt;=7),"ناجحة","استدراك")</f>
        <v>ناجحة</v>
      </c>
      <c r="B2" s="3">
        <f t="shared" ref="B2:B23" si="2">(F2*5+D2*3)/8</f>
        <v>19</v>
      </c>
      <c r="C2" s="2" t="str">
        <f t="shared" ref="C2:C23" si="3">IF(D2&gt;=10,"مستوفي",IF(and(B2&gt;=10,D2&gt;=7),"مستوفي","غير مستوفي"))</f>
        <v>مستوفي</v>
      </c>
      <c r="D2" s="2">
        <v>19.0</v>
      </c>
      <c r="E2" s="2" t="str">
        <f t="shared" ref="E2:E23" si="4">IF(F2&gt;=10,"مستوفي",IF(and(B2&gt;=10,F2&gt;=7),"مستوفي","غير مستوفي"))</f>
        <v>مستوفي</v>
      </c>
      <c r="F2" s="2">
        <v>19.0</v>
      </c>
      <c r="G2" s="6" t="s">
        <v>29</v>
      </c>
      <c r="H2" s="7">
        <v>24078.0</v>
      </c>
      <c r="I2" s="2">
        <v>1.0</v>
      </c>
    </row>
    <row r="3">
      <c r="A3" s="2" t="str">
        <f t="shared" si="1"/>
        <v>ناجحة</v>
      </c>
      <c r="B3" s="3">
        <f t="shared" si="2"/>
        <v>18.84375</v>
      </c>
      <c r="C3" s="2" t="str">
        <f t="shared" si="3"/>
        <v>مستوفي</v>
      </c>
      <c r="D3" s="2">
        <v>19.0</v>
      </c>
      <c r="E3" s="2" t="str">
        <f t="shared" si="4"/>
        <v>مستوفي</v>
      </c>
      <c r="F3" s="2">
        <v>18.75</v>
      </c>
      <c r="G3" s="6" t="s">
        <v>33</v>
      </c>
      <c r="H3" s="7">
        <v>24076.0</v>
      </c>
      <c r="I3" s="2">
        <f t="shared" ref="I3:I16" si="5">I2+1</f>
        <v>2</v>
      </c>
    </row>
    <row r="4">
      <c r="A4" s="2" t="str">
        <f t="shared" si="1"/>
        <v>ناجحة</v>
      </c>
      <c r="B4" s="3">
        <f t="shared" si="2"/>
        <v>18.8125</v>
      </c>
      <c r="C4" s="2" t="str">
        <f t="shared" si="3"/>
        <v>مستوفي</v>
      </c>
      <c r="D4" s="2">
        <v>18.5</v>
      </c>
      <c r="E4" s="2" t="str">
        <f t="shared" si="4"/>
        <v>مستوفي</v>
      </c>
      <c r="F4" s="2">
        <v>19.0</v>
      </c>
      <c r="G4" s="6" t="s">
        <v>37</v>
      </c>
      <c r="H4" s="7">
        <v>24082.0</v>
      </c>
      <c r="I4" s="2">
        <f t="shared" si="5"/>
        <v>3</v>
      </c>
    </row>
    <row r="5">
      <c r="A5" s="2" t="str">
        <f t="shared" si="1"/>
        <v>ناجحة</v>
      </c>
      <c r="B5" s="3">
        <f t="shared" si="2"/>
        <v>18.625</v>
      </c>
      <c r="C5" s="2" t="str">
        <f t="shared" si="3"/>
        <v>مستوفي</v>
      </c>
      <c r="D5" s="2">
        <v>18.0</v>
      </c>
      <c r="E5" s="2" t="str">
        <f t="shared" si="4"/>
        <v>مستوفي</v>
      </c>
      <c r="F5" s="2">
        <v>19.0</v>
      </c>
      <c r="G5" s="6" t="s">
        <v>40</v>
      </c>
      <c r="H5" s="7">
        <v>24079.0</v>
      </c>
      <c r="I5" s="2">
        <f t="shared" si="5"/>
        <v>4</v>
      </c>
    </row>
    <row r="6">
      <c r="A6" s="2" t="str">
        <f t="shared" si="1"/>
        <v>ناجحة</v>
      </c>
      <c r="B6" s="3">
        <f t="shared" si="2"/>
        <v>18.3125</v>
      </c>
      <c r="C6" s="2" t="str">
        <f t="shared" si="3"/>
        <v>مستوفي</v>
      </c>
      <c r="D6" s="2">
        <v>18.0</v>
      </c>
      <c r="E6" s="2" t="str">
        <f t="shared" si="4"/>
        <v>مستوفي</v>
      </c>
      <c r="F6" s="2">
        <v>18.5</v>
      </c>
      <c r="G6" s="6" t="s">
        <v>43</v>
      </c>
      <c r="H6" s="7">
        <v>24080.0</v>
      </c>
      <c r="I6" s="2">
        <f t="shared" si="5"/>
        <v>5</v>
      </c>
    </row>
    <row r="7">
      <c r="A7" s="2" t="str">
        <f t="shared" si="1"/>
        <v>ناجحة</v>
      </c>
      <c r="B7" s="3">
        <f t="shared" si="2"/>
        <v>16.9375</v>
      </c>
      <c r="C7" s="2" t="str">
        <f t="shared" si="3"/>
        <v>مستوفي</v>
      </c>
      <c r="D7" s="2">
        <v>16.0</v>
      </c>
      <c r="E7" s="2" t="str">
        <f t="shared" si="4"/>
        <v>مستوفي</v>
      </c>
      <c r="F7" s="2">
        <v>17.5</v>
      </c>
      <c r="G7" s="6" t="s">
        <v>46</v>
      </c>
      <c r="H7" s="7">
        <v>24086.0</v>
      </c>
      <c r="I7" s="2">
        <f t="shared" si="5"/>
        <v>6</v>
      </c>
    </row>
    <row r="8">
      <c r="A8" s="2" t="str">
        <f t="shared" si="1"/>
        <v>ناجحة</v>
      </c>
      <c r="B8" s="3">
        <f t="shared" si="2"/>
        <v>16</v>
      </c>
      <c r="C8" s="2" t="str">
        <f t="shared" si="3"/>
        <v>مستوفي</v>
      </c>
      <c r="D8" s="2">
        <v>16.0</v>
      </c>
      <c r="E8" s="2" t="str">
        <f t="shared" si="4"/>
        <v>مستوفي</v>
      </c>
      <c r="F8" s="2">
        <v>16.0</v>
      </c>
      <c r="G8" s="6" t="s">
        <v>49</v>
      </c>
      <c r="H8" s="7">
        <v>24084.0</v>
      </c>
      <c r="I8" s="2">
        <f t="shared" si="5"/>
        <v>7</v>
      </c>
    </row>
    <row r="9">
      <c r="A9" s="2" t="str">
        <f t="shared" si="1"/>
        <v>ناجحة</v>
      </c>
      <c r="B9" s="3">
        <f t="shared" si="2"/>
        <v>15.375</v>
      </c>
      <c r="C9" s="2" t="str">
        <f t="shared" si="3"/>
        <v>مستوفي</v>
      </c>
      <c r="D9" s="2">
        <v>16.0</v>
      </c>
      <c r="E9" s="2" t="str">
        <f t="shared" si="4"/>
        <v>مستوفي</v>
      </c>
      <c r="F9" s="2">
        <v>15.0</v>
      </c>
      <c r="G9" s="6" t="s">
        <v>52</v>
      </c>
      <c r="H9" s="7">
        <v>24089.0</v>
      </c>
      <c r="I9" s="2">
        <f t="shared" si="5"/>
        <v>8</v>
      </c>
    </row>
    <row r="10">
      <c r="A10" s="2" t="str">
        <f t="shared" si="1"/>
        <v>ناجحة</v>
      </c>
      <c r="B10" s="3">
        <f t="shared" si="2"/>
        <v>15.1875</v>
      </c>
      <c r="C10" s="2" t="str">
        <f t="shared" si="3"/>
        <v>مستوفي</v>
      </c>
      <c r="D10" s="2">
        <v>15.5</v>
      </c>
      <c r="E10" s="2" t="str">
        <f t="shared" si="4"/>
        <v>مستوفي</v>
      </c>
      <c r="F10" s="2">
        <v>15.0</v>
      </c>
      <c r="G10" s="6" t="s">
        <v>56</v>
      </c>
      <c r="H10" s="7">
        <v>24077.0</v>
      </c>
      <c r="I10" s="2">
        <f t="shared" si="5"/>
        <v>9</v>
      </c>
    </row>
    <row r="11">
      <c r="A11" s="2" t="str">
        <f t="shared" si="1"/>
        <v>ناجحة</v>
      </c>
      <c r="B11" s="3">
        <f t="shared" si="2"/>
        <v>14.9375</v>
      </c>
      <c r="C11" s="2" t="str">
        <f t="shared" si="3"/>
        <v>مستوفي</v>
      </c>
      <c r="D11" s="2">
        <v>16.5</v>
      </c>
      <c r="E11" s="2" t="str">
        <f t="shared" si="4"/>
        <v>مستوفي</v>
      </c>
      <c r="F11" s="2">
        <v>14.0</v>
      </c>
      <c r="G11" s="6" t="s">
        <v>58</v>
      </c>
      <c r="H11" s="7">
        <v>24088.0</v>
      </c>
      <c r="I11" s="2">
        <f t="shared" si="5"/>
        <v>10</v>
      </c>
    </row>
    <row r="12">
      <c r="A12" s="2" t="str">
        <f t="shared" si="1"/>
        <v>ناجحة</v>
      </c>
      <c r="B12" s="3">
        <f t="shared" si="2"/>
        <v>14.0625</v>
      </c>
      <c r="C12" s="2" t="str">
        <f t="shared" si="3"/>
        <v>مستوفي</v>
      </c>
      <c r="D12" s="2">
        <v>10.0</v>
      </c>
      <c r="E12" s="2" t="str">
        <f t="shared" si="4"/>
        <v>مستوفي</v>
      </c>
      <c r="F12" s="2">
        <v>16.5</v>
      </c>
      <c r="G12" s="8" t="s">
        <v>62</v>
      </c>
      <c r="H12" s="7">
        <v>24091.0</v>
      </c>
      <c r="I12" s="2">
        <f t="shared" si="5"/>
        <v>11</v>
      </c>
    </row>
    <row r="13">
      <c r="A13" s="2" t="str">
        <f t="shared" si="1"/>
        <v>ناجحة</v>
      </c>
      <c r="B13" s="3">
        <f t="shared" si="2"/>
        <v>13.125</v>
      </c>
      <c r="C13" s="2" t="str">
        <f t="shared" si="3"/>
        <v>مستوفي</v>
      </c>
      <c r="D13" s="2">
        <v>10.0</v>
      </c>
      <c r="E13" s="2" t="str">
        <f t="shared" si="4"/>
        <v>مستوفي</v>
      </c>
      <c r="F13" s="2">
        <v>15.0</v>
      </c>
      <c r="G13" s="6" t="s">
        <v>66</v>
      </c>
      <c r="H13" s="7">
        <v>24090.0</v>
      </c>
      <c r="I13" s="2">
        <f t="shared" si="5"/>
        <v>12</v>
      </c>
    </row>
    <row r="14">
      <c r="A14" s="2" t="str">
        <f t="shared" si="1"/>
        <v>ناجحة</v>
      </c>
      <c r="B14" s="3">
        <f t="shared" si="2"/>
        <v>12.5</v>
      </c>
      <c r="C14" s="2" t="str">
        <f t="shared" si="3"/>
        <v>مستوفي</v>
      </c>
      <c r="D14" s="11">
        <v>10.0</v>
      </c>
      <c r="E14" s="2" t="str">
        <f t="shared" si="4"/>
        <v>مستوفي</v>
      </c>
      <c r="F14" s="11">
        <v>14.0</v>
      </c>
      <c r="G14" s="12" t="s">
        <v>70</v>
      </c>
      <c r="H14" s="13">
        <v>24097.0</v>
      </c>
      <c r="I14" s="2">
        <f t="shared" si="5"/>
        <v>13</v>
      </c>
    </row>
    <row r="15">
      <c r="A15" s="2" t="str">
        <f t="shared" si="1"/>
        <v>استدراك</v>
      </c>
      <c r="B15" s="3">
        <f t="shared" si="2"/>
        <v>11.875</v>
      </c>
      <c r="C15" s="2" t="str">
        <f t="shared" si="3"/>
        <v>غير مستوفي</v>
      </c>
      <c r="D15" s="2"/>
      <c r="E15" s="2" t="str">
        <f t="shared" si="4"/>
        <v>مستوفي</v>
      </c>
      <c r="F15" s="2">
        <v>19.0</v>
      </c>
      <c r="G15" s="6" t="s">
        <v>73</v>
      </c>
      <c r="H15" s="7">
        <v>24081.0</v>
      </c>
      <c r="I15" s="2">
        <f t="shared" si="5"/>
        <v>14</v>
      </c>
    </row>
    <row r="16">
      <c r="A16" s="2" t="str">
        <f t="shared" si="1"/>
        <v>ناجحة</v>
      </c>
      <c r="B16" s="3">
        <f t="shared" si="2"/>
        <v>10</v>
      </c>
      <c r="C16" s="2" t="str">
        <f t="shared" si="3"/>
        <v>مستوفي</v>
      </c>
      <c r="D16" s="2">
        <v>10.0</v>
      </c>
      <c r="E16" s="2" t="str">
        <f t="shared" si="4"/>
        <v>مستوفي</v>
      </c>
      <c r="F16" s="2">
        <v>10.0</v>
      </c>
      <c r="G16" s="8" t="s">
        <v>76</v>
      </c>
      <c r="H16" s="7">
        <v>24092.0</v>
      </c>
      <c r="I16" s="2">
        <f t="shared" si="5"/>
        <v>15</v>
      </c>
    </row>
    <row r="17">
      <c r="A17" s="2" t="str">
        <f t="shared" si="1"/>
        <v>ناجحة</v>
      </c>
      <c r="B17" s="3">
        <f t="shared" si="2"/>
        <v>10</v>
      </c>
      <c r="C17" s="2" t="str">
        <f t="shared" si="3"/>
        <v>مستوفي</v>
      </c>
      <c r="D17" s="11">
        <v>10.0</v>
      </c>
      <c r="E17" s="2" t="str">
        <f t="shared" si="4"/>
        <v>مستوفي</v>
      </c>
      <c r="F17" s="11">
        <v>10.0</v>
      </c>
      <c r="G17" s="12" t="s">
        <v>78</v>
      </c>
      <c r="H17" s="7">
        <v>24096.0</v>
      </c>
      <c r="I17" s="2">
        <v>15.0</v>
      </c>
    </row>
    <row r="18">
      <c r="A18" s="2" t="str">
        <f t="shared" si="1"/>
        <v>استدراك</v>
      </c>
      <c r="B18" s="3">
        <f t="shared" si="2"/>
        <v>0</v>
      </c>
      <c r="C18" s="2" t="str">
        <f t="shared" si="3"/>
        <v>غير مستوفي</v>
      </c>
      <c r="D18" s="2"/>
      <c r="E18" s="2" t="str">
        <f t="shared" si="4"/>
        <v>غير مستوفي</v>
      </c>
      <c r="F18" s="2"/>
      <c r="G18" s="6" t="s">
        <v>80</v>
      </c>
      <c r="H18" s="7">
        <v>24083.0</v>
      </c>
      <c r="I18" s="2">
        <f>I17+1</f>
        <v>16</v>
      </c>
    </row>
    <row r="19">
      <c r="A19" s="2" t="str">
        <f t="shared" si="1"/>
        <v>استدراك</v>
      </c>
      <c r="B19" s="3">
        <f t="shared" si="2"/>
        <v>0</v>
      </c>
      <c r="C19" s="2" t="str">
        <f t="shared" si="3"/>
        <v>غير مستوفي</v>
      </c>
      <c r="D19" s="2"/>
      <c r="E19" s="2" t="str">
        <f t="shared" si="4"/>
        <v>غير مستوفي</v>
      </c>
      <c r="F19" s="2"/>
      <c r="G19" s="6" t="s">
        <v>83</v>
      </c>
      <c r="H19" s="7">
        <v>24085.0</v>
      </c>
      <c r="I19" s="2">
        <v>16.0</v>
      </c>
    </row>
    <row r="20">
      <c r="A20" s="2" t="str">
        <f t="shared" si="1"/>
        <v>استدراك</v>
      </c>
      <c r="B20" s="3">
        <f t="shared" si="2"/>
        <v>0</v>
      </c>
      <c r="C20" s="2" t="str">
        <f t="shared" si="3"/>
        <v>غير مستوفي</v>
      </c>
      <c r="D20" s="2"/>
      <c r="E20" s="2" t="str">
        <f t="shared" si="4"/>
        <v>غير مستوفي</v>
      </c>
      <c r="F20" s="2"/>
      <c r="G20" s="6" t="s">
        <v>85</v>
      </c>
      <c r="H20" s="7">
        <v>24087.0</v>
      </c>
      <c r="I20" s="2">
        <v>16.0</v>
      </c>
    </row>
    <row r="21">
      <c r="A21" s="2" t="str">
        <f t="shared" si="1"/>
        <v>استدراك</v>
      </c>
      <c r="B21" s="3">
        <f t="shared" si="2"/>
        <v>0</v>
      </c>
      <c r="C21" s="2" t="str">
        <f t="shared" si="3"/>
        <v>غير مستوفي</v>
      </c>
      <c r="D21" s="2"/>
      <c r="E21" s="2" t="str">
        <f t="shared" si="4"/>
        <v>غير مستوفي</v>
      </c>
      <c r="F21" s="2"/>
      <c r="G21" s="8" t="s">
        <v>86</v>
      </c>
      <c r="H21" s="7">
        <v>24093.0</v>
      </c>
      <c r="I21" s="2">
        <v>16.0</v>
      </c>
    </row>
    <row r="22">
      <c r="A22" s="2" t="str">
        <f t="shared" si="1"/>
        <v>استدراك</v>
      </c>
      <c r="B22" s="3">
        <f t="shared" si="2"/>
        <v>0</v>
      </c>
      <c r="C22" s="2" t="str">
        <f t="shared" si="3"/>
        <v>غير مستوفي</v>
      </c>
      <c r="D22" s="2"/>
      <c r="E22" s="2" t="str">
        <f t="shared" si="4"/>
        <v>غير مستوفي</v>
      </c>
      <c r="F22" s="2"/>
      <c r="G22" s="8" t="s">
        <v>89</v>
      </c>
      <c r="H22" s="7">
        <v>24094.0</v>
      </c>
      <c r="I22" s="2">
        <v>16.0</v>
      </c>
    </row>
    <row r="23">
      <c r="A23" s="2" t="str">
        <f t="shared" si="1"/>
        <v>استدراك</v>
      </c>
      <c r="B23" s="3">
        <f t="shared" si="2"/>
        <v>0</v>
      </c>
      <c r="C23" s="2" t="str">
        <f t="shared" si="3"/>
        <v>غير مستوفي</v>
      </c>
      <c r="D23" s="2"/>
      <c r="E23" s="2" t="str">
        <f t="shared" si="4"/>
        <v>غير مستوفي</v>
      </c>
      <c r="F23" s="2"/>
      <c r="G23" s="8" t="s">
        <v>90</v>
      </c>
      <c r="H23" s="7">
        <v>24095.0</v>
      </c>
      <c r="I23" s="2">
        <v>16.0</v>
      </c>
    </row>
  </sheetData>
  <conditionalFormatting sqref="A2:A23">
    <cfRule type="cellIs" dxfId="0" priority="1" operator="equal">
      <formula>"ناجحة"</formula>
    </cfRule>
  </conditionalFormatting>
  <conditionalFormatting sqref="A2:A23">
    <cfRule type="cellIs" dxfId="1" priority="2" operator="equal">
      <formula>"استدراك"</formula>
    </cfRule>
  </conditionalFormatting>
  <conditionalFormatting sqref="C2:C23 E2:E23">
    <cfRule type="cellIs" dxfId="0" priority="3" operator="equal">
      <formula>"مستوفي"</formula>
    </cfRule>
  </conditionalFormatting>
  <conditionalFormatting sqref="C2:C23 E2:E23">
    <cfRule type="cellIs" dxfId="1" priority="4" operator="equal">
      <formula>"غير مستوفي"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4.13"/>
    <col customWidth="1" min="9" max="9" width="14.75"/>
    <col customWidth="1" min="10" max="10" width="17.88"/>
    <col customWidth="1" min="11" max="11" width="19.5"/>
  </cols>
  <sheetData>
    <row r="1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24</v>
      </c>
      <c r="J1" s="1" t="s">
        <v>108</v>
      </c>
      <c r="K1" s="1" t="s">
        <v>10</v>
      </c>
      <c r="L1" s="1" t="s">
        <v>11</v>
      </c>
      <c r="M1" s="1" t="s">
        <v>12</v>
      </c>
    </row>
    <row r="2">
      <c r="A2" s="2" t="str">
        <f t="shared" ref="A2:A23" si="1">IF(and(B2&gt;=10,D2&gt;=7,F2&gt;=7,H2&gt;=7,J2&gt;=7),"ناجحة","استدراك")</f>
        <v>ناجحة</v>
      </c>
      <c r="B2" s="3">
        <f t="shared" ref="B2:B23" si="2">(J2*5+H2*3+F2*3+D2*3)/14</f>
        <v>18.89285714</v>
      </c>
      <c r="C2" s="4" t="str">
        <f t="shared" ref="C2:C23" si="3">IF(D2&gt;=10,"مستوفي",IF(and(B2&gt;=10,D2&gt;=7),"مستوفي","غير مستوفي"))</f>
        <v>مستوفي</v>
      </c>
      <c r="D2" s="2">
        <v>19.0</v>
      </c>
      <c r="E2" s="4" t="str">
        <f t="shared" ref="E2:E23" si="4">IF(F2&gt;=10,"مستوفي",IF(and(B2&gt;=10,F2&gt;=7),"مستوفي","غير مستوفي"))</f>
        <v>مستوفي</v>
      </c>
      <c r="F2" s="2">
        <v>18.75</v>
      </c>
      <c r="G2" s="2" t="str">
        <f t="shared" ref="G2:G23" si="5">IF(H2&gt;=10,"مستوفي",IF(and(B2&gt;=10,H2&gt;=7),"مستوفي","غير مستوفي"))</f>
        <v>مستوفي</v>
      </c>
      <c r="H2" s="2">
        <v>18.75</v>
      </c>
      <c r="I2" s="2" t="str">
        <f t="shared" ref="I2:I23" si="6">IF(J2&gt;=10,"مستوفي",IF(and(B2&gt;=10,J2&gt;=7),"مستوفي","غير مستوفي"))</f>
        <v>مستوفي</v>
      </c>
      <c r="J2" s="2">
        <v>19.0</v>
      </c>
      <c r="K2" s="6" t="s">
        <v>109</v>
      </c>
      <c r="L2" s="7">
        <v>24003.0</v>
      </c>
      <c r="M2" s="2">
        <v>1.0</v>
      </c>
    </row>
    <row r="3">
      <c r="A3" s="2" t="str">
        <f t="shared" si="1"/>
        <v>ناجحة</v>
      </c>
      <c r="B3" s="3">
        <f t="shared" si="2"/>
        <v>18.625</v>
      </c>
      <c r="C3" s="4" t="str">
        <f t="shared" si="3"/>
        <v>مستوفي</v>
      </c>
      <c r="D3" s="2">
        <v>18.75</v>
      </c>
      <c r="E3" s="4" t="str">
        <f t="shared" si="4"/>
        <v>مستوفي</v>
      </c>
      <c r="F3" s="2">
        <v>18.5</v>
      </c>
      <c r="G3" s="2" t="str">
        <f t="shared" si="5"/>
        <v>مستوفي</v>
      </c>
      <c r="H3" s="2">
        <v>18.0</v>
      </c>
      <c r="I3" s="2" t="str">
        <f t="shared" si="6"/>
        <v>مستوفي</v>
      </c>
      <c r="J3" s="2">
        <v>19.0</v>
      </c>
      <c r="K3" s="6" t="s">
        <v>110</v>
      </c>
      <c r="L3" s="7">
        <v>24006.0</v>
      </c>
      <c r="M3" s="10">
        <f t="shared" ref="M3:M16" si="7">M2+1</f>
        <v>2</v>
      </c>
    </row>
    <row r="4">
      <c r="A4" s="2" t="str">
        <f t="shared" si="1"/>
        <v>ناجحة</v>
      </c>
      <c r="B4" s="3">
        <f t="shared" si="2"/>
        <v>18.35714286</v>
      </c>
      <c r="C4" s="4" t="str">
        <f t="shared" si="3"/>
        <v>مستوفي</v>
      </c>
      <c r="D4" s="2">
        <v>18.75</v>
      </c>
      <c r="E4" s="4" t="str">
        <f t="shared" si="4"/>
        <v>مستوفي</v>
      </c>
      <c r="F4" s="2">
        <v>18.75</v>
      </c>
      <c r="G4" s="2" t="str">
        <f t="shared" si="5"/>
        <v>مستوفي</v>
      </c>
      <c r="H4" s="2">
        <v>19.0</v>
      </c>
      <c r="I4" s="2" t="str">
        <f t="shared" si="6"/>
        <v>مستوفي</v>
      </c>
      <c r="J4" s="2">
        <v>17.5</v>
      </c>
      <c r="K4" s="6" t="s">
        <v>111</v>
      </c>
      <c r="L4" s="7">
        <v>24002.0</v>
      </c>
      <c r="M4" s="10">
        <f t="shared" si="7"/>
        <v>3</v>
      </c>
    </row>
    <row r="5">
      <c r="A5" s="2" t="str">
        <f t="shared" si="1"/>
        <v>ناجحة</v>
      </c>
      <c r="B5" s="3">
        <f t="shared" si="2"/>
        <v>18.25</v>
      </c>
      <c r="C5" s="4" t="str">
        <f t="shared" si="3"/>
        <v>مستوفي</v>
      </c>
      <c r="D5" s="2">
        <v>16.5</v>
      </c>
      <c r="E5" s="4" t="str">
        <f t="shared" si="4"/>
        <v>مستوفي</v>
      </c>
      <c r="F5" s="2">
        <v>18.0</v>
      </c>
      <c r="G5" s="2" t="str">
        <f t="shared" si="5"/>
        <v>مستوفي</v>
      </c>
      <c r="H5" s="2">
        <v>19.0</v>
      </c>
      <c r="I5" s="2" t="str">
        <f t="shared" si="6"/>
        <v>مستوفي</v>
      </c>
      <c r="J5" s="2">
        <v>19.0</v>
      </c>
      <c r="K5" s="6" t="s">
        <v>112</v>
      </c>
      <c r="L5" s="7">
        <v>24007.0</v>
      </c>
      <c r="M5" s="10">
        <f t="shared" si="7"/>
        <v>4</v>
      </c>
    </row>
    <row r="6">
      <c r="A6" s="2" t="str">
        <f t="shared" si="1"/>
        <v>ناجحة</v>
      </c>
      <c r="B6" s="3">
        <f t="shared" si="2"/>
        <v>17.76785714</v>
      </c>
      <c r="C6" s="4" t="str">
        <f t="shared" si="3"/>
        <v>مستوفي</v>
      </c>
      <c r="D6" s="2">
        <v>16.5</v>
      </c>
      <c r="E6" s="4" t="str">
        <f t="shared" si="4"/>
        <v>مستوفي</v>
      </c>
      <c r="F6" s="2">
        <v>17.5</v>
      </c>
      <c r="G6" s="2" t="str">
        <f t="shared" si="5"/>
        <v>مستوفي</v>
      </c>
      <c r="H6" s="2">
        <v>17.25</v>
      </c>
      <c r="I6" s="2" t="str">
        <f t="shared" si="6"/>
        <v>مستوفي</v>
      </c>
      <c r="J6" s="2">
        <v>19.0</v>
      </c>
      <c r="K6" s="6" t="s">
        <v>113</v>
      </c>
      <c r="L6" s="7">
        <v>24005.0</v>
      </c>
      <c r="M6" s="10">
        <f t="shared" si="7"/>
        <v>5</v>
      </c>
    </row>
    <row r="7">
      <c r="A7" s="2" t="str">
        <f t="shared" si="1"/>
        <v>ناجحة</v>
      </c>
      <c r="B7" s="3">
        <f t="shared" si="2"/>
        <v>17.5</v>
      </c>
      <c r="C7" s="4" t="str">
        <f t="shared" si="3"/>
        <v>مستوفي</v>
      </c>
      <c r="D7" s="2">
        <v>18.5</v>
      </c>
      <c r="E7" s="4" t="str">
        <f t="shared" si="4"/>
        <v>مستوفي</v>
      </c>
      <c r="F7" s="2">
        <v>14.25</v>
      </c>
      <c r="G7" s="2" t="str">
        <f t="shared" si="5"/>
        <v>مستوفي</v>
      </c>
      <c r="H7" s="2">
        <v>17.25</v>
      </c>
      <c r="I7" s="2" t="str">
        <f t="shared" si="6"/>
        <v>مستوفي</v>
      </c>
      <c r="J7" s="2">
        <v>19.0</v>
      </c>
      <c r="K7" s="6" t="s">
        <v>114</v>
      </c>
      <c r="L7" s="7">
        <v>24015.0</v>
      </c>
      <c r="M7" s="10">
        <f t="shared" si="7"/>
        <v>6</v>
      </c>
    </row>
    <row r="8">
      <c r="A8" s="2" t="str">
        <f t="shared" si="1"/>
        <v>ناجحة</v>
      </c>
      <c r="B8" s="3">
        <f t="shared" si="2"/>
        <v>17.32142857</v>
      </c>
      <c r="C8" s="4" t="str">
        <f t="shared" si="3"/>
        <v>مستوفي</v>
      </c>
      <c r="D8" s="2">
        <v>16.0</v>
      </c>
      <c r="E8" s="4" t="str">
        <f t="shared" si="4"/>
        <v>مستوفي</v>
      </c>
      <c r="F8" s="2">
        <v>16.75</v>
      </c>
      <c r="G8" s="2" t="str">
        <f t="shared" si="5"/>
        <v>مستوفي</v>
      </c>
      <c r="H8" s="2">
        <v>17.25</v>
      </c>
      <c r="I8" s="2" t="str">
        <f t="shared" si="6"/>
        <v>مستوفي</v>
      </c>
      <c r="J8" s="2">
        <v>18.5</v>
      </c>
      <c r="K8" s="6" t="s">
        <v>115</v>
      </c>
      <c r="L8" s="7">
        <v>24017.0</v>
      </c>
      <c r="M8" s="10">
        <f t="shared" si="7"/>
        <v>7</v>
      </c>
    </row>
    <row r="9">
      <c r="A9" s="2" t="str">
        <f t="shared" si="1"/>
        <v>ناجحة</v>
      </c>
      <c r="B9" s="3">
        <f t="shared" si="2"/>
        <v>15.46428571</v>
      </c>
      <c r="C9" s="4" t="str">
        <f t="shared" si="3"/>
        <v>مستوفي</v>
      </c>
      <c r="D9" s="2">
        <v>14.5</v>
      </c>
      <c r="E9" s="4" t="str">
        <f t="shared" si="4"/>
        <v>مستوفي</v>
      </c>
      <c r="F9" s="2">
        <v>12.0</v>
      </c>
      <c r="G9" s="2" t="str">
        <f t="shared" si="5"/>
        <v>مستوفي</v>
      </c>
      <c r="H9" s="2">
        <v>16.5</v>
      </c>
      <c r="I9" s="2" t="str">
        <f t="shared" si="6"/>
        <v>مستوفي</v>
      </c>
      <c r="J9" s="2">
        <v>17.5</v>
      </c>
      <c r="K9" s="6" t="s">
        <v>116</v>
      </c>
      <c r="L9" s="7">
        <v>24008.0</v>
      </c>
      <c r="M9" s="10">
        <f t="shared" si="7"/>
        <v>8</v>
      </c>
    </row>
    <row r="10">
      <c r="A10" s="2" t="str">
        <f t="shared" si="1"/>
        <v>ناجحة</v>
      </c>
      <c r="B10" s="3">
        <f t="shared" si="2"/>
        <v>15.21428571</v>
      </c>
      <c r="C10" s="4" t="str">
        <f t="shared" si="3"/>
        <v>مستوفي</v>
      </c>
      <c r="D10" s="2">
        <v>17.0</v>
      </c>
      <c r="E10" s="4" t="str">
        <f t="shared" si="4"/>
        <v>مستوفي</v>
      </c>
      <c r="F10" s="2">
        <v>10.0</v>
      </c>
      <c r="G10" s="2" t="str">
        <f t="shared" si="5"/>
        <v>مستوفي</v>
      </c>
      <c r="H10" s="2">
        <v>17.75</v>
      </c>
      <c r="I10" s="2" t="str">
        <f t="shared" si="6"/>
        <v>مستوفي</v>
      </c>
      <c r="J10" s="2">
        <v>15.75</v>
      </c>
      <c r="K10" s="6" t="s">
        <v>117</v>
      </c>
      <c r="L10" s="7">
        <v>24018.0</v>
      </c>
      <c r="M10" s="10">
        <f t="shared" si="7"/>
        <v>9</v>
      </c>
    </row>
    <row r="11">
      <c r="A11" s="2" t="str">
        <f t="shared" si="1"/>
        <v>ناجحة</v>
      </c>
      <c r="B11" s="3">
        <f t="shared" si="2"/>
        <v>12.91071429</v>
      </c>
      <c r="C11" s="4" t="str">
        <f t="shared" si="3"/>
        <v>مستوفي</v>
      </c>
      <c r="D11" s="2">
        <v>15.25</v>
      </c>
      <c r="E11" s="4" t="str">
        <f t="shared" si="4"/>
        <v>مستوفي</v>
      </c>
      <c r="F11" s="2">
        <v>10.0</v>
      </c>
      <c r="G11" s="2" t="str">
        <f t="shared" si="5"/>
        <v>مستوفي</v>
      </c>
      <c r="H11" s="2">
        <v>7.5</v>
      </c>
      <c r="I11" s="2" t="str">
        <f t="shared" si="6"/>
        <v>مستوفي</v>
      </c>
      <c r="J11" s="2">
        <v>16.5</v>
      </c>
      <c r="K11" s="6" t="s">
        <v>118</v>
      </c>
      <c r="L11" s="7">
        <v>24011.0</v>
      </c>
      <c r="M11" s="10">
        <f t="shared" si="7"/>
        <v>10</v>
      </c>
    </row>
    <row r="12">
      <c r="A12" s="2" t="str">
        <f t="shared" si="1"/>
        <v>استدراك</v>
      </c>
      <c r="B12" s="3">
        <f t="shared" si="2"/>
        <v>10.98214286</v>
      </c>
      <c r="C12" s="4" t="str">
        <f t="shared" si="3"/>
        <v>مستوفي</v>
      </c>
      <c r="D12" s="2">
        <v>10.0</v>
      </c>
      <c r="E12" s="4" t="str">
        <f t="shared" si="4"/>
        <v>مستوفي</v>
      </c>
      <c r="F12" s="2">
        <v>10.0</v>
      </c>
      <c r="G12" s="2" t="str">
        <f t="shared" si="5"/>
        <v>غير مستوفي</v>
      </c>
      <c r="H12" s="2"/>
      <c r="I12" s="2" t="str">
        <f t="shared" si="6"/>
        <v>مستوفي</v>
      </c>
      <c r="J12" s="2">
        <v>18.75</v>
      </c>
      <c r="K12" s="6" t="s">
        <v>119</v>
      </c>
      <c r="L12" s="7">
        <v>24012.0</v>
      </c>
      <c r="M12" s="10">
        <f t="shared" si="7"/>
        <v>11</v>
      </c>
    </row>
    <row r="13">
      <c r="A13" s="2" t="str">
        <f t="shared" si="1"/>
        <v>استدراك</v>
      </c>
      <c r="B13" s="3">
        <f t="shared" si="2"/>
        <v>9.482142857</v>
      </c>
      <c r="C13" s="4" t="str">
        <f t="shared" si="3"/>
        <v>مستوفي</v>
      </c>
      <c r="D13" s="2">
        <v>13.25</v>
      </c>
      <c r="E13" s="4" t="str">
        <f t="shared" si="4"/>
        <v>مستوفي</v>
      </c>
      <c r="F13" s="2">
        <v>13.0</v>
      </c>
      <c r="G13" s="2" t="str">
        <f t="shared" si="5"/>
        <v>مستوفي</v>
      </c>
      <c r="H13" s="2">
        <v>13.0</v>
      </c>
      <c r="I13" s="2" t="str">
        <f t="shared" si="6"/>
        <v>غير مستوفي</v>
      </c>
      <c r="J13" s="2">
        <v>3.0</v>
      </c>
      <c r="K13" s="6" t="s">
        <v>120</v>
      </c>
      <c r="L13" s="7">
        <v>24010.0</v>
      </c>
      <c r="M13" s="10">
        <f t="shared" si="7"/>
        <v>12</v>
      </c>
    </row>
    <row r="14">
      <c r="A14" s="2" t="str">
        <f t="shared" si="1"/>
        <v>استدراك</v>
      </c>
      <c r="B14" s="3">
        <f t="shared" si="2"/>
        <v>9.214285714</v>
      </c>
      <c r="C14" s="4" t="str">
        <f t="shared" si="3"/>
        <v>مستوفي</v>
      </c>
      <c r="D14" s="2">
        <v>13.5</v>
      </c>
      <c r="E14" s="4" t="str">
        <f t="shared" si="4"/>
        <v>غير مستوفي</v>
      </c>
      <c r="F14" s="2"/>
      <c r="G14" s="2" t="str">
        <f t="shared" si="5"/>
        <v>مستوفي</v>
      </c>
      <c r="H14" s="2">
        <v>12.0</v>
      </c>
      <c r="I14" s="2" t="str">
        <f t="shared" si="6"/>
        <v>مستوفي</v>
      </c>
      <c r="J14" s="2">
        <v>10.5</v>
      </c>
      <c r="K14" s="6" t="s">
        <v>121</v>
      </c>
      <c r="L14" s="7">
        <v>24016.0</v>
      </c>
      <c r="M14" s="10">
        <f t="shared" si="7"/>
        <v>13</v>
      </c>
    </row>
    <row r="15">
      <c r="A15" s="2" t="str">
        <f t="shared" si="1"/>
        <v>استدراك</v>
      </c>
      <c r="B15" s="3">
        <f t="shared" si="2"/>
        <v>6.607142857</v>
      </c>
      <c r="C15" s="4" t="str">
        <f t="shared" si="3"/>
        <v>غير مستوفي</v>
      </c>
      <c r="D15" s="2"/>
      <c r="E15" s="4" t="str">
        <f t="shared" si="4"/>
        <v>غير مستوفي</v>
      </c>
      <c r="F15" s="2"/>
      <c r="G15" s="2" t="str">
        <f t="shared" si="5"/>
        <v>غير مستوفي</v>
      </c>
      <c r="H15" s="2"/>
      <c r="I15" s="2" t="str">
        <f t="shared" si="6"/>
        <v>مستوفي</v>
      </c>
      <c r="J15" s="2">
        <v>18.5</v>
      </c>
      <c r="K15" s="6" t="s">
        <v>122</v>
      </c>
      <c r="L15" s="7">
        <v>24013.0</v>
      </c>
      <c r="M15" s="10">
        <f t="shared" si="7"/>
        <v>14</v>
      </c>
    </row>
    <row r="16">
      <c r="A16" s="2" t="str">
        <f t="shared" si="1"/>
        <v>استدراك</v>
      </c>
      <c r="B16" s="3">
        <f t="shared" si="2"/>
        <v>0</v>
      </c>
      <c r="C16" s="4" t="str">
        <f t="shared" si="3"/>
        <v>غير مستوفي</v>
      </c>
      <c r="D16" s="2"/>
      <c r="E16" s="4" t="str">
        <f t="shared" si="4"/>
        <v>غير مستوفي</v>
      </c>
      <c r="F16" s="2"/>
      <c r="G16" s="2" t="str">
        <f t="shared" si="5"/>
        <v>غير مستوفي</v>
      </c>
      <c r="H16" s="2"/>
      <c r="I16" s="2" t="str">
        <f t="shared" si="6"/>
        <v>غير مستوفي</v>
      </c>
      <c r="J16" s="2"/>
      <c r="K16" s="6" t="s">
        <v>123</v>
      </c>
      <c r="L16" s="7">
        <v>24001.0</v>
      </c>
      <c r="M16" s="10">
        <f t="shared" si="7"/>
        <v>15</v>
      </c>
    </row>
    <row r="17">
      <c r="A17" s="2" t="str">
        <f t="shared" si="1"/>
        <v>استدراك</v>
      </c>
      <c r="B17" s="3">
        <f t="shared" si="2"/>
        <v>0</v>
      </c>
      <c r="C17" s="4" t="str">
        <f t="shared" si="3"/>
        <v>غير مستوفي</v>
      </c>
      <c r="D17" s="2"/>
      <c r="E17" s="4" t="str">
        <f t="shared" si="4"/>
        <v>غير مستوفي</v>
      </c>
      <c r="F17" s="2"/>
      <c r="G17" s="2" t="str">
        <f t="shared" si="5"/>
        <v>غير مستوفي</v>
      </c>
      <c r="H17" s="2"/>
      <c r="I17" s="2" t="str">
        <f t="shared" si="6"/>
        <v>غير مستوفي</v>
      </c>
      <c r="J17" s="2"/>
      <c r="K17" s="6" t="s">
        <v>124</v>
      </c>
      <c r="L17" s="7">
        <v>24004.0</v>
      </c>
      <c r="M17" s="2">
        <v>15.0</v>
      </c>
    </row>
    <row r="18">
      <c r="A18" s="2" t="str">
        <f t="shared" si="1"/>
        <v>استدراك</v>
      </c>
      <c r="B18" s="3">
        <f t="shared" si="2"/>
        <v>0</v>
      </c>
      <c r="C18" s="4" t="str">
        <f t="shared" si="3"/>
        <v>غير مستوفي</v>
      </c>
      <c r="D18" s="2"/>
      <c r="E18" s="4" t="str">
        <f t="shared" si="4"/>
        <v>غير مستوفي</v>
      </c>
      <c r="F18" s="2"/>
      <c r="G18" s="2" t="str">
        <f t="shared" si="5"/>
        <v>غير مستوفي</v>
      </c>
      <c r="H18" s="2"/>
      <c r="I18" s="2" t="str">
        <f t="shared" si="6"/>
        <v>غير مستوفي</v>
      </c>
      <c r="J18" s="2"/>
      <c r="K18" s="6" t="s">
        <v>125</v>
      </c>
      <c r="L18" s="7">
        <v>24009.0</v>
      </c>
      <c r="M18" s="2">
        <v>15.0</v>
      </c>
    </row>
    <row r="19">
      <c r="A19" s="2" t="str">
        <f t="shared" si="1"/>
        <v>استدراك</v>
      </c>
      <c r="B19" s="3">
        <f t="shared" si="2"/>
        <v>0</v>
      </c>
      <c r="C19" s="4" t="str">
        <f t="shared" si="3"/>
        <v>غير مستوفي</v>
      </c>
      <c r="D19" s="2"/>
      <c r="E19" s="4" t="str">
        <f t="shared" si="4"/>
        <v>غير مستوفي</v>
      </c>
      <c r="F19" s="2"/>
      <c r="G19" s="2" t="str">
        <f t="shared" si="5"/>
        <v>غير مستوفي</v>
      </c>
      <c r="H19" s="2"/>
      <c r="I19" s="2" t="str">
        <f t="shared" si="6"/>
        <v>غير مستوفي</v>
      </c>
      <c r="J19" s="2"/>
      <c r="K19" s="6" t="s">
        <v>126</v>
      </c>
      <c r="L19" s="7">
        <v>24014.0</v>
      </c>
      <c r="M19" s="2">
        <v>15.0</v>
      </c>
    </row>
    <row r="20">
      <c r="A20" s="2" t="str">
        <f t="shared" si="1"/>
        <v>استدراك</v>
      </c>
      <c r="B20" s="3">
        <f t="shared" si="2"/>
        <v>0</v>
      </c>
      <c r="C20" s="4" t="str">
        <f t="shared" si="3"/>
        <v>غير مستوفي</v>
      </c>
      <c r="D20" s="2"/>
      <c r="E20" s="4" t="str">
        <f t="shared" si="4"/>
        <v>غير مستوفي</v>
      </c>
      <c r="F20" s="2"/>
      <c r="G20" s="2" t="str">
        <f t="shared" si="5"/>
        <v>غير مستوفي</v>
      </c>
      <c r="H20" s="2"/>
      <c r="I20" s="2" t="str">
        <f t="shared" si="6"/>
        <v>غير مستوفي</v>
      </c>
      <c r="J20" s="2"/>
      <c r="K20" s="6" t="s">
        <v>127</v>
      </c>
      <c r="L20" s="7">
        <v>24019.0</v>
      </c>
      <c r="M20" s="2">
        <v>15.0</v>
      </c>
    </row>
    <row r="21">
      <c r="A21" s="2" t="str">
        <f t="shared" si="1"/>
        <v>استدراك</v>
      </c>
      <c r="B21" s="3">
        <f t="shared" si="2"/>
        <v>0</v>
      </c>
      <c r="C21" s="4" t="str">
        <f t="shared" si="3"/>
        <v>غير مستوفي</v>
      </c>
      <c r="D21" s="2"/>
      <c r="E21" s="4" t="str">
        <f t="shared" si="4"/>
        <v>غير مستوفي</v>
      </c>
      <c r="F21" s="2"/>
      <c r="G21" s="2" t="str">
        <f t="shared" si="5"/>
        <v>غير مستوفي</v>
      </c>
      <c r="H21" s="2"/>
      <c r="I21" s="2" t="str">
        <f t="shared" si="6"/>
        <v>غير مستوفي</v>
      </c>
      <c r="J21" s="2"/>
      <c r="K21" s="6" t="s">
        <v>128</v>
      </c>
      <c r="L21" s="7">
        <v>24020.0</v>
      </c>
      <c r="M21" s="2">
        <v>15.0</v>
      </c>
    </row>
    <row r="22">
      <c r="A22" s="2" t="str">
        <f t="shared" si="1"/>
        <v>استدراك</v>
      </c>
      <c r="B22" s="3">
        <f t="shared" si="2"/>
        <v>0</v>
      </c>
      <c r="C22" s="4" t="str">
        <f t="shared" si="3"/>
        <v>غير مستوفي</v>
      </c>
      <c r="D22" s="2"/>
      <c r="E22" s="4" t="str">
        <f t="shared" si="4"/>
        <v>غير مستوفي</v>
      </c>
      <c r="F22" s="2"/>
      <c r="G22" s="2" t="str">
        <f t="shared" si="5"/>
        <v>غير مستوفي</v>
      </c>
      <c r="H22" s="10"/>
      <c r="I22" s="2" t="str">
        <f t="shared" si="6"/>
        <v>غير مستوفي</v>
      </c>
      <c r="J22" s="2"/>
      <c r="K22" s="6" t="s">
        <v>129</v>
      </c>
      <c r="L22" s="7">
        <v>24021.0</v>
      </c>
      <c r="M22" s="2">
        <v>15.0</v>
      </c>
    </row>
    <row r="23">
      <c r="A23" s="2" t="str">
        <f t="shared" si="1"/>
        <v>استدراك</v>
      </c>
      <c r="B23" s="3">
        <f t="shared" si="2"/>
        <v>0</v>
      </c>
      <c r="C23" s="4" t="str">
        <f t="shared" si="3"/>
        <v>غير مستوفي</v>
      </c>
      <c r="D23" s="2"/>
      <c r="E23" s="4" t="str">
        <f t="shared" si="4"/>
        <v>غير مستوفي</v>
      </c>
      <c r="F23" s="2"/>
      <c r="G23" s="2" t="str">
        <f t="shared" si="5"/>
        <v>غير مستوفي</v>
      </c>
      <c r="H23" s="16"/>
      <c r="I23" s="2" t="str">
        <f t="shared" si="6"/>
        <v>غير مستوفي</v>
      </c>
      <c r="J23" s="16"/>
      <c r="K23" s="6" t="s">
        <v>130</v>
      </c>
      <c r="L23" s="7">
        <v>24022.0</v>
      </c>
      <c r="M23" s="2">
        <v>15.0</v>
      </c>
    </row>
  </sheetData>
  <conditionalFormatting sqref="A2:A23">
    <cfRule type="cellIs" dxfId="0" priority="1" operator="equal">
      <formula>"ناجحة"</formula>
    </cfRule>
  </conditionalFormatting>
  <conditionalFormatting sqref="A2:A23">
    <cfRule type="cellIs" dxfId="1" priority="2" operator="equal">
      <formula>"استدراك"</formula>
    </cfRule>
  </conditionalFormatting>
  <conditionalFormatting sqref="C2:G23 I2:I23">
    <cfRule type="cellIs" dxfId="0" priority="3" operator="equal">
      <formula>"مستوفي"</formula>
    </cfRule>
  </conditionalFormatting>
  <conditionalFormatting sqref="C2:G23 I2:I23">
    <cfRule type="cellIs" dxfId="1" priority="4" operator="equal">
      <formula>"غير مستوفي"</formula>
    </cfRule>
  </conditionalFormatting>
  <drawing r:id="rId1"/>
</worksheet>
</file>